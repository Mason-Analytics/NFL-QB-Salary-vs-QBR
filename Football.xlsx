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975" documentId="11_E60897F41BE170836B02CE998F75CCDC64E183C8" xr6:coauthVersionLast="47" xr6:coauthVersionMax="47" xr10:uidLastSave="{9246C52F-360B-4BC2-9116-E081EDB21C4F}"/>
  <bookViews>
    <workbookView xWindow="240" yWindow="105" windowWidth="14805" windowHeight="8010" firstSheet="1" activeTab="1" xr2:uid="{00000000-000D-0000-FFFF-FFFF00000000}"/>
  </bookViews>
  <sheets>
    <sheet name="Teams" sheetId="6" r:id="rId1"/>
    <sheet name="QB" sheetId="1" r:id="rId2"/>
    <sheet name="WR" sheetId="2" r:id="rId3"/>
    <sheet name="RB" sheetId="3" r:id="rId4"/>
    <sheet name="TE" sheetId="4" r:id="rId5"/>
    <sheet name="K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Q5" i="6"/>
  <c r="P5" i="6"/>
  <c r="F3" i="6"/>
  <c r="F4" i="6"/>
  <c r="F5" i="6"/>
  <c r="F6" i="6"/>
  <c r="F7" i="6"/>
  <c r="F8" i="6"/>
  <c r="F9" i="6"/>
  <c r="F10" i="6"/>
  <c r="F11" i="6"/>
  <c r="F12" i="6"/>
  <c r="F13" i="6"/>
  <c r="F14" i="6"/>
  <c r="F16" i="6"/>
  <c r="F17" i="6"/>
  <c r="F18" i="6"/>
  <c r="F19" i="6"/>
  <c r="F20" i="6"/>
  <c r="F21" i="6"/>
  <c r="F22" i="6"/>
  <c r="F24" i="6"/>
  <c r="F25" i="6"/>
  <c r="F26" i="6"/>
  <c r="F27" i="6"/>
  <c r="F28" i="6"/>
  <c r="F29" i="6"/>
  <c r="F30" i="6"/>
  <c r="F31" i="6"/>
  <c r="F32" i="6"/>
  <c r="F33" i="6"/>
  <c r="F34" i="6"/>
</calcChain>
</file>

<file path=xl/sharedStrings.xml><?xml version="1.0" encoding="utf-8"?>
<sst xmlns="http://schemas.openxmlformats.org/spreadsheetml/2006/main" count="204" uniqueCount="139">
  <si>
    <t>Team Name</t>
  </si>
  <si>
    <t>City</t>
  </si>
  <si>
    <t>Total Cap</t>
  </si>
  <si>
    <t>Wins</t>
  </si>
  <si>
    <t>Losses</t>
  </si>
  <si>
    <t>Tie</t>
  </si>
  <si>
    <t>Overall TD</t>
  </si>
  <si>
    <t>Rush TD</t>
  </si>
  <si>
    <t>Passing TD</t>
  </si>
  <si>
    <t>2-PT</t>
  </si>
  <si>
    <t>Overall Yards</t>
  </si>
  <si>
    <t>Passing Yards</t>
  </si>
  <si>
    <t>Avg PPG</t>
  </si>
  <si>
    <t>Avg PPG Allowed</t>
  </si>
  <si>
    <t>Avg YPG</t>
  </si>
  <si>
    <t>Avg YPG Allowed</t>
  </si>
  <si>
    <t>Avg RY PG</t>
  </si>
  <si>
    <t>Avg RY PG Allowed</t>
  </si>
  <si>
    <t>Avg PY PG</t>
  </si>
  <si>
    <t>Avg PY PG Allowed</t>
  </si>
  <si>
    <t>49ers</t>
  </si>
  <si>
    <t>SF</t>
  </si>
  <si>
    <t>Bears</t>
  </si>
  <si>
    <t>CHI</t>
  </si>
  <si>
    <t>Bengals</t>
  </si>
  <si>
    <t>CIN</t>
  </si>
  <si>
    <t>Bills</t>
  </si>
  <si>
    <t>BUF</t>
  </si>
  <si>
    <t>Broncos</t>
  </si>
  <si>
    <t>DEN</t>
  </si>
  <si>
    <t>Browns</t>
  </si>
  <si>
    <t>CLE</t>
  </si>
  <si>
    <t>Buccaneers</t>
  </si>
  <si>
    <t>TB</t>
  </si>
  <si>
    <t>Cardinals</t>
  </si>
  <si>
    <t>ARI</t>
  </si>
  <si>
    <t>Chargers</t>
  </si>
  <si>
    <t>LAC</t>
  </si>
  <si>
    <t>Chiefs</t>
  </si>
  <si>
    <t>KC</t>
  </si>
  <si>
    <t>Colts</t>
  </si>
  <si>
    <t>IND</t>
  </si>
  <si>
    <t>Commanders</t>
  </si>
  <si>
    <t>WAS</t>
  </si>
  <si>
    <t>Cowboys</t>
  </si>
  <si>
    <t>DAL</t>
  </si>
  <si>
    <t>Dolphins</t>
  </si>
  <si>
    <t>MIA</t>
  </si>
  <si>
    <t>Eagles</t>
  </si>
  <si>
    <t>PHI</t>
  </si>
  <si>
    <t>Falcons</t>
  </si>
  <si>
    <t>ATL</t>
  </si>
  <si>
    <t>Giants</t>
  </si>
  <si>
    <t>NYG</t>
  </si>
  <si>
    <t>Jaguars</t>
  </si>
  <si>
    <t>JAX</t>
  </si>
  <si>
    <t>Jets</t>
  </si>
  <si>
    <t>NYJ</t>
  </si>
  <si>
    <t>Lions</t>
  </si>
  <si>
    <t>DET</t>
  </si>
  <si>
    <t>Packers</t>
  </si>
  <si>
    <t>GB</t>
  </si>
  <si>
    <t>Panthers</t>
  </si>
  <si>
    <t>CAR</t>
  </si>
  <si>
    <t>Patriots</t>
  </si>
  <si>
    <t>NE</t>
  </si>
  <si>
    <t>Raiders</t>
  </si>
  <si>
    <t>LV</t>
  </si>
  <si>
    <t>Rams</t>
  </si>
  <si>
    <t>LAR</t>
  </si>
  <si>
    <t>Ravens</t>
  </si>
  <si>
    <t>BAL</t>
  </si>
  <si>
    <t>Saints</t>
  </si>
  <si>
    <t>NO</t>
  </si>
  <si>
    <t>Seahawks</t>
  </si>
  <si>
    <t>SEA</t>
  </si>
  <si>
    <t>Steelers</t>
  </si>
  <si>
    <t>PIT</t>
  </si>
  <si>
    <t>Texans</t>
  </si>
  <si>
    <t>HOU</t>
  </si>
  <si>
    <t>Titans</t>
  </si>
  <si>
    <t>TEN</t>
  </si>
  <si>
    <t>Vikings</t>
  </si>
  <si>
    <t>MIN</t>
  </si>
  <si>
    <t>Year</t>
  </si>
  <si>
    <t>Player Name</t>
  </si>
  <si>
    <t>Team</t>
  </si>
  <si>
    <t>Salary</t>
  </si>
  <si>
    <t>QBR</t>
  </si>
  <si>
    <t>PAA</t>
  </si>
  <si>
    <t>PLAYS</t>
  </si>
  <si>
    <t>EPA</t>
  </si>
  <si>
    <t>PASS</t>
  </si>
  <si>
    <t>RUN</t>
  </si>
  <si>
    <t>SACK</t>
  </si>
  <si>
    <t>PEN</t>
  </si>
  <si>
    <t>RAW</t>
  </si>
  <si>
    <t>Drake Maye</t>
  </si>
  <si>
    <t>QBR:Adjusted Total Quarterback Rating, which values the quarterback on all play types on a 0-100 scale adjusted for the strength of opposing defenses faced.</t>
  </si>
  <si>
    <t>Brock Purdy</t>
  </si>
  <si>
    <t>PAA:Number of points contributed by a quarterback, accounting for QBR and how much he plays, above the level of an average quarterback.</t>
  </si>
  <si>
    <t>Jordan Love</t>
  </si>
  <si>
    <t>PLAYS:Plays on which the QB has a non-zero expected points contribution. Includes most plays that are not handoffs.</t>
  </si>
  <si>
    <t>Matthew Stafford</t>
  </si>
  <si>
    <t>EPA:Total expected points added with low leverage plays, according to ESPN Win Probability model, down-weighted.</t>
  </si>
  <si>
    <t>Dak Prescott</t>
  </si>
  <si>
    <t>PASS:Expected points added on pass attempts with low leverage plays down-weighted.</t>
  </si>
  <si>
    <t>Patrick Mahomes</t>
  </si>
  <si>
    <t>RUN:Clutch-weighted expected points added through rushes</t>
  </si>
  <si>
    <t>Josh Allen</t>
  </si>
  <si>
    <t>SACK:Expected points added on sacks with low leverage plays down-weighted.</t>
  </si>
  <si>
    <t>Daniel Jones</t>
  </si>
  <si>
    <t>PEN:Expected points added on penalties with low leverage plays down-weighted.</t>
  </si>
  <si>
    <t>Lamar Jackson</t>
  </si>
  <si>
    <t>RAW:Raw Total Quarterback Rating, which values quarterback on all play types on a 0-100 scale (not adjusted for opposing defenses faced)</t>
  </si>
  <si>
    <t>C. J. Stroud</t>
  </si>
  <si>
    <t>Baker Mayfield</t>
  </si>
  <si>
    <t>Justin Herbert</t>
  </si>
  <si>
    <t>Trevor Lawrence</t>
  </si>
  <si>
    <t>Bo Nix</t>
  </si>
  <si>
    <t>Caleb Williams</t>
  </si>
  <si>
    <t>Jaxson Dart</t>
  </si>
  <si>
    <t>Jared Goff</t>
  </si>
  <si>
    <t>Sam Darnold</t>
  </si>
  <si>
    <t>Jalen Hurts</t>
  </si>
  <si>
    <t>Tyler Shough</t>
  </si>
  <si>
    <t>Bryce Young</t>
  </si>
  <si>
    <t>Aaron Rodgers</t>
  </si>
  <si>
    <t>Jacoby Brissett</t>
  </si>
  <si>
    <t>Joe Flacco</t>
  </si>
  <si>
    <t>Tua Tagovailoa</t>
  </si>
  <si>
    <t>Geno Smith</t>
  </si>
  <si>
    <t>Cam Ward</t>
  </si>
  <si>
    <t>Kirk Cousins</t>
  </si>
  <si>
    <t>Deshaun Watson</t>
  </si>
  <si>
    <t>Jayden Daniels</t>
  </si>
  <si>
    <t>J.J. McCarthy</t>
  </si>
  <si>
    <t>Kenny Pickett</t>
  </si>
  <si>
    <t>Source ESPN QBR, Spottrac Cap Data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</si>
</sst>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>
    <font>
      <sz val="11"/>
      <color theme="1"/>
      <name val="Calibri"/>
      <family val="2"/>
      <scheme val="minor"/>
    </font>
    <font>
      <sz val="9"/>
      <color rgb="FF6C6D6F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  <border>
      <left/>
      <right/>
      <top/>
      <bottom style="thin">
        <color rgb="FFF1F2F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1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Fill="1"/>
    <xf numFmtId="0" fontId="1" fillId="0" borderId="4" xfId="0" applyFont="1" applyBorder="1" applyAlignment="1"/>
    <xf numFmtId="0" fontId="0" fillId="0" borderId="0" xfId="0" applyFont="1"/>
    <xf numFmtId="0" fontId="1" fillId="0" borderId="0" xfId="0" applyFont="1" applyBorder="1" applyAlignment="1"/>
    <xf numFmtId="0" fontId="0" fillId="2" borderId="6" xfId="0" applyFont="1" applyFill="1" applyBorder="1"/>
    <xf numFmtId="0" fontId="0" fillId="0" borderId="0" xfId="0" applyFont="1" applyBorder="1"/>
    <xf numFmtId="0" fontId="0" fillId="0" borderId="0" xfId="0" applyBorder="1"/>
    <xf numFmtId="0" fontId="1" fillId="3" borderId="0" xfId="0" applyFont="1" applyFill="1" applyBorder="1" applyAlignment="1"/>
    <xf numFmtId="0" fontId="0" fillId="0" borderId="0" xfId="0" applyFill="1" applyBorder="1"/>
    <xf numFmtId="0" fontId="0" fillId="0" borderId="4" xfId="0" applyBorder="1"/>
    <xf numFmtId="0" fontId="0" fillId="0" borderId="3" xfId="0" applyBorder="1"/>
    <xf numFmtId="0" fontId="0" fillId="0" borderId="3" xfId="0" applyFill="1" applyBorder="1"/>
    <xf numFmtId="0" fontId="0" fillId="0" borderId="5" xfId="0" applyBorder="1"/>
    <xf numFmtId="0" fontId="0" fillId="0" borderId="7" xfId="0" applyBorder="1"/>
    <xf numFmtId="0" fontId="0" fillId="0" borderId="2" xfId="0" applyFont="1" applyBorder="1"/>
    <xf numFmtId="164" fontId="0" fillId="0" borderId="0" xfId="0" applyNumberFormat="1"/>
    <xf numFmtId="0" fontId="0" fillId="0" borderId="0" xfId="0" applyFill="1" applyAlignment="1">
      <alignment wrapText="1"/>
    </xf>
  </cellXfs>
  <cellStyles count="1">
    <cellStyle name="Normal" xfId="0" builtinId="0"/>
  </cellStyles>
  <dxfs count="20">
    <dxf>
      <numFmt numFmtId="164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rgb="FFF8F9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A2A9B1"/>
        </left>
        <right style="thin">
          <color rgb="FFA2A9B1"/>
        </right>
        <top style="thin">
          <color rgb="FFA2A9B1"/>
        </top>
        <bottom style="thin">
          <color rgb="FFA2A9B1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Teams!E3:E34</c:f>
              <c:numCache>
                <c:formatCode>0</c:formatCode>
                <c:ptCount val="32"/>
                <c:pt idx="0">
                  <c:v>12</c:v>
                </c:pt>
                <c:pt idx="1">
                  <c:v>11</c:v>
                </c:pt>
                <c:pt idx="2">
                  <c:v>6</c:v>
                </c:pt>
                <c:pt idx="3">
                  <c:v>12</c:v>
                </c:pt>
                <c:pt idx="4">
                  <c:v>14</c:v>
                </c:pt>
                <c:pt idx="5">
                  <c:v>5</c:v>
                </c:pt>
                <c:pt idx="6">
                  <c:v>8</c:v>
                </c:pt>
                <c:pt idx="7">
                  <c:v>3</c:v>
                </c:pt>
                <c:pt idx="8">
                  <c:v>11</c:v>
                </c:pt>
                <c:pt idx="9">
                  <c:v>6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11</c:v>
                </c:pt>
                <c:pt idx="15">
                  <c:v>8</c:v>
                </c:pt>
                <c:pt idx="16">
                  <c:v>4</c:v>
                </c:pt>
                <c:pt idx="17">
                  <c:v>13</c:v>
                </c:pt>
                <c:pt idx="18">
                  <c:v>3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14</c:v>
                </c:pt>
                <c:pt idx="23">
                  <c:v>3</c:v>
                </c:pt>
                <c:pt idx="24">
                  <c:v>12</c:v>
                </c:pt>
                <c:pt idx="25">
                  <c:v>8</c:v>
                </c:pt>
                <c:pt idx="26">
                  <c:v>6</c:v>
                </c:pt>
                <c:pt idx="27">
                  <c:v>14</c:v>
                </c:pt>
                <c:pt idx="28">
                  <c:v>10</c:v>
                </c:pt>
                <c:pt idx="29">
                  <c:v>12</c:v>
                </c:pt>
                <c:pt idx="30">
                  <c:v>3</c:v>
                </c:pt>
                <c:pt idx="31">
                  <c:v>9</c:v>
                </c:pt>
              </c:numCache>
            </c:numRef>
          </c:xVal>
          <c:yVal>
            <c:numRef>
              <c:f>Teams!D3:D34</c:f>
              <c:numCache>
                <c:formatCode>0</c:formatCode>
                <c:ptCount val="32"/>
                <c:pt idx="0">
                  <c:v>321963492</c:v>
                </c:pt>
                <c:pt idx="1">
                  <c:v>280865543</c:v>
                </c:pt>
                <c:pt idx="2">
                  <c:v>276850042</c:v>
                </c:pt>
                <c:pt idx="3">
                  <c:v>276850267</c:v>
                </c:pt>
                <c:pt idx="4">
                  <c:v>263592810</c:v>
                </c:pt>
                <c:pt idx="5">
                  <c:v>306533606</c:v>
                </c:pt>
                <c:pt idx="6">
                  <c:v>276521053</c:v>
                </c:pt>
                <c:pt idx="7">
                  <c:v>280114044</c:v>
                </c:pt>
                <c:pt idx="8">
                  <c:v>282174401</c:v>
                </c:pt>
                <c:pt idx="9">
                  <c:v>285522835</c:v>
                </c:pt>
                <c:pt idx="10">
                  <c:v>290299719</c:v>
                </c:pt>
                <c:pt idx="11">
                  <c:v>275319901</c:v>
                </c:pt>
                <c:pt idx="12">
                  <c:v>284921924</c:v>
                </c:pt>
                <c:pt idx="13">
                  <c:v>285024043</c:v>
                </c:pt>
                <c:pt idx="14">
                  <c:v>276853266</c:v>
                </c:pt>
                <c:pt idx="15">
                  <c:v>281482715</c:v>
                </c:pt>
                <c:pt idx="16">
                  <c:v>288894176</c:v>
                </c:pt>
                <c:pt idx="17">
                  <c:v>290936667</c:v>
                </c:pt>
                <c:pt idx="18">
                  <c:v>267573038</c:v>
                </c:pt>
                <c:pt idx="19">
                  <c:v>286864619</c:v>
                </c:pt>
                <c:pt idx="20">
                  <c:v>290073531</c:v>
                </c:pt>
                <c:pt idx="21">
                  <c:v>266178392</c:v>
                </c:pt>
                <c:pt idx="22">
                  <c:v>274200537</c:v>
                </c:pt>
                <c:pt idx="23">
                  <c:v>290738282</c:v>
                </c:pt>
                <c:pt idx="24">
                  <c:v>276138648</c:v>
                </c:pt>
                <c:pt idx="25">
                  <c:v>268372660</c:v>
                </c:pt>
                <c:pt idx="26">
                  <c:v>273842666</c:v>
                </c:pt>
                <c:pt idx="27">
                  <c:v>271548394</c:v>
                </c:pt>
                <c:pt idx="28">
                  <c:v>269301103</c:v>
                </c:pt>
                <c:pt idx="29">
                  <c:v>281228279</c:v>
                </c:pt>
                <c:pt idx="30">
                  <c:v>283121876</c:v>
                </c:pt>
                <c:pt idx="31">
                  <c:v>270867464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C-4CFF-8069-B8104A6D3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209096"/>
        <c:axId val="1493211144"/>
      </c:scatterChart>
      <c:valAx>
        <c:axId val="1493209096"/>
        <c:scaling>
          <c:orientation val="minMax"/>
          <c:max val="15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11144"/>
        <c:crosses val="autoZero"/>
        <c:crossBetween val="midCat"/>
      </c:valAx>
      <c:valAx>
        <c:axId val="1493211144"/>
        <c:scaling>
          <c:orientation val="minMax"/>
          <c:max val="330000000"/>
          <c:min val="2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09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NFL Salary vs QBR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QB!B2</c:f>
              <c:strCache>
                <c:ptCount val="1"/>
                <c:pt idx="0">
                  <c:v>Player Name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rgbClr val="C65911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Drake Maye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989-4621-9299-8D05A4552B9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BE-4B06-AFE1-43EA055127E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BE-4B06-AFE1-43EA055127E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BE-4B06-AFE1-43EA055127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BE-4B06-AFE1-43EA055127E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Patrick Mahomes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989-4621-9299-8D05A4552B9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Josh Allen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989-4621-9299-8D05A4552B9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BE-4B06-AFE1-43EA055127E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BE-4B06-AFE1-43EA055127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BE-4B06-AFE1-43EA055127E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BE-4B06-AFE1-43EA055127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BE-4B06-AFE1-43EA055127E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BE-4B06-AFE1-43EA055127E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BE-4B06-AFE1-43EA055127E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BE-4B06-AFE1-43EA055127E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BE-4B06-AFE1-43EA055127E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BE-4B06-AFE1-43EA055127E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BE-4B06-AFE1-43EA055127E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Jalen Hurts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989-4621-9299-8D05A4552B9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BE-4B06-AFE1-43EA055127E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BE-4B06-AFE1-43EA055127E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BE-4B06-AFE1-43EA055127E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BE-4B06-AFE1-43EA055127E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BE-4B06-AFE1-43EA055127E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BE-4B06-AFE1-43EA055127E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Geno Smith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989-4621-9299-8D05A4552B9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Cam Ward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989-4621-9299-8D05A4552B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C6591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QB!F3:F29</c:f>
              <c:numCache>
                <c:formatCode>General</c:formatCode>
                <c:ptCount val="27"/>
                <c:pt idx="0">
                  <c:v>77.099999999999994</c:v>
                </c:pt>
                <c:pt idx="1">
                  <c:v>72.8</c:v>
                </c:pt>
                <c:pt idx="2">
                  <c:v>72.7</c:v>
                </c:pt>
                <c:pt idx="3">
                  <c:v>71.2</c:v>
                </c:pt>
                <c:pt idx="4">
                  <c:v>70.2</c:v>
                </c:pt>
                <c:pt idx="5">
                  <c:v>68.5</c:v>
                </c:pt>
                <c:pt idx="6">
                  <c:v>65.400000000000006</c:v>
                </c:pt>
                <c:pt idx="7">
                  <c:v>63</c:v>
                </c:pt>
                <c:pt idx="8">
                  <c:v>62.7</c:v>
                </c:pt>
                <c:pt idx="9">
                  <c:v>61.7</c:v>
                </c:pt>
                <c:pt idx="10">
                  <c:v>61.3</c:v>
                </c:pt>
                <c:pt idx="11">
                  <c:v>60.6</c:v>
                </c:pt>
                <c:pt idx="12">
                  <c:v>58.3</c:v>
                </c:pt>
                <c:pt idx="13">
                  <c:v>58.3</c:v>
                </c:pt>
                <c:pt idx="14">
                  <c:v>58.2</c:v>
                </c:pt>
                <c:pt idx="15">
                  <c:v>57.5</c:v>
                </c:pt>
                <c:pt idx="16">
                  <c:v>57.3</c:v>
                </c:pt>
                <c:pt idx="17">
                  <c:v>55.6</c:v>
                </c:pt>
                <c:pt idx="18">
                  <c:v>55.2</c:v>
                </c:pt>
                <c:pt idx="19">
                  <c:v>48.8</c:v>
                </c:pt>
                <c:pt idx="20">
                  <c:v>47.6</c:v>
                </c:pt>
                <c:pt idx="21">
                  <c:v>44.4</c:v>
                </c:pt>
                <c:pt idx="22">
                  <c:v>41.2</c:v>
                </c:pt>
                <c:pt idx="23">
                  <c:v>41</c:v>
                </c:pt>
                <c:pt idx="24">
                  <c:v>37.5</c:v>
                </c:pt>
                <c:pt idx="25">
                  <c:v>34.1</c:v>
                </c:pt>
                <c:pt idx="26">
                  <c:v>33.200000000000003</c:v>
                </c:pt>
              </c:numCache>
            </c:numRef>
          </c:xVal>
          <c:yVal>
            <c:numRef>
              <c:f>QB!E3:E29</c:f>
              <c:numCache>
                <c:formatCode>[$$-409]#,##0</c:formatCode>
                <c:ptCount val="27"/>
                <c:pt idx="0">
                  <c:v>8336984</c:v>
                </c:pt>
                <c:pt idx="1">
                  <c:v>9128073</c:v>
                </c:pt>
                <c:pt idx="2">
                  <c:v>29772437</c:v>
                </c:pt>
                <c:pt idx="3">
                  <c:v>47468556</c:v>
                </c:pt>
                <c:pt idx="4">
                  <c:v>50527250</c:v>
                </c:pt>
                <c:pt idx="5">
                  <c:v>28062269</c:v>
                </c:pt>
                <c:pt idx="6">
                  <c:v>36338431</c:v>
                </c:pt>
                <c:pt idx="7">
                  <c:v>14608820</c:v>
                </c:pt>
                <c:pt idx="8">
                  <c:v>43500000</c:v>
                </c:pt>
                <c:pt idx="9">
                  <c:v>9903159</c:v>
                </c:pt>
                <c:pt idx="10">
                  <c:v>26478780</c:v>
                </c:pt>
                <c:pt idx="11">
                  <c:v>37354495</c:v>
                </c:pt>
                <c:pt idx="12">
                  <c:v>17000000</c:v>
                </c:pt>
                <c:pt idx="13">
                  <c:v>4238770</c:v>
                </c:pt>
                <c:pt idx="14">
                  <c:v>8984506</c:v>
                </c:pt>
                <c:pt idx="15">
                  <c:v>3091245</c:v>
                </c:pt>
                <c:pt idx="16">
                  <c:v>32608820</c:v>
                </c:pt>
                <c:pt idx="17">
                  <c:v>13400000</c:v>
                </c:pt>
                <c:pt idx="18">
                  <c:v>54877360</c:v>
                </c:pt>
                <c:pt idx="19">
                  <c:v>1967877</c:v>
                </c:pt>
                <c:pt idx="20">
                  <c:v>10360203</c:v>
                </c:pt>
                <c:pt idx="21">
                  <c:v>14150000</c:v>
                </c:pt>
                <c:pt idx="22">
                  <c:v>5310000</c:v>
                </c:pt>
                <c:pt idx="23">
                  <c:v>2162272</c:v>
                </c:pt>
                <c:pt idx="24">
                  <c:v>39313647</c:v>
                </c:pt>
                <c:pt idx="25">
                  <c:v>40010080</c:v>
                </c:pt>
                <c:pt idx="26">
                  <c:v>8884114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89-4621-9299-8D05A455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639624"/>
        <c:axId val="2070641672"/>
      </c:scatterChart>
      <c:valAx>
        <c:axId val="207063962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QBR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41672"/>
        <c:crosses val="autoZero"/>
        <c:crossBetween val="midCat"/>
      </c:valAx>
      <c:valAx>
        <c:axId val="2070641672"/>
        <c:scaling>
          <c:orientation val="minMax"/>
          <c:min val="1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39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34</xdr:row>
      <xdr:rowOff>123825</xdr:rowOff>
    </xdr:from>
    <xdr:to>
      <xdr:col>12</xdr:col>
      <xdr:colOff>781050</xdr:colOff>
      <xdr:row>49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3F82B7-8091-ADAC-1482-438CF18E4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12</xdr:row>
      <xdr:rowOff>57150</xdr:rowOff>
    </xdr:from>
    <xdr:to>
      <xdr:col>15</xdr:col>
      <xdr:colOff>7124700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334CC-4EBE-3DA2-DD85-9E28B1EE1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09833-0F2E-4E75-814E-6F9513ECE88B}" name="Table1" displayName="Table1" ref="B2:U34" totalsRowShown="0">
  <autoFilter ref="B2:U34" xr:uid="{ADC09833-0F2E-4E75-814E-6F9513ECE88B}"/>
  <sortState xmlns:xlrd2="http://schemas.microsoft.com/office/spreadsheetml/2017/richdata2" ref="B3:U34">
    <sortCondition ref="B2:B34"/>
  </sortState>
  <tableColumns count="20">
    <tableColumn id="1" xr3:uid="{88B0B744-2C0C-4BBB-BD94-4756986432F7}" name="Team Name"/>
    <tableColumn id="19" xr3:uid="{90699460-08EA-4AB7-887B-F18C29A0F448}" name="City"/>
    <tableColumn id="21" xr3:uid="{0B4CE982-58F8-43B0-AC72-333156F79884}" name="Total Cap" dataDxfId="19"/>
    <tableColumn id="16" xr3:uid="{02C07763-D140-4C44-A6F3-3FCF65B11CB6}" name="Wins" dataDxfId="18"/>
    <tableColumn id="17" xr3:uid="{C7EEA62F-E076-4E6A-A5B5-6A4A48304726}" name="Losses">
      <calculatedColumnFormula>17 - Table1[[#This Row],[Wins]]</calculatedColumnFormula>
    </tableColumn>
    <tableColumn id="20" xr3:uid="{6D36BB66-30CB-417B-BAE1-5E2F7E8E3480}" name="Tie"/>
    <tableColumn id="2" xr3:uid="{6B272434-4498-45D3-A72A-4466B627BE63}" name="Overall TD" dataDxfId="17"/>
    <tableColumn id="3" xr3:uid="{B0B6968D-450F-44A1-AA33-B08465F347D3}" name="Rush TD" dataDxfId="16"/>
    <tableColumn id="4" xr3:uid="{FFFE8883-621F-401D-9D3D-F7E4DB7D804E}" name="Passing TD" dataDxfId="15"/>
    <tableColumn id="5" xr3:uid="{781C291D-1A05-49DE-834B-41B80950328C}" name="2-PT" dataDxfId="14"/>
    <tableColumn id="6" xr3:uid="{C0919564-6773-4063-8902-37C680460221}" name="Overall Yards" dataDxfId="13"/>
    <tableColumn id="7" xr3:uid="{A14CA6ED-3515-4CEF-A329-D226855FCEEB}" name="Passing Yards" dataDxfId="12"/>
    <tableColumn id="8" xr3:uid="{EFF9D062-3835-4B13-BDEA-F420A77FF8E8}" name="Avg PPG" dataDxfId="11"/>
    <tableColumn id="9" xr3:uid="{DD5459A0-57A8-4085-962E-7F3EBB837DDA}" name="Avg PPG Allowed" dataDxfId="10"/>
    <tableColumn id="10" xr3:uid="{CC2D1C98-60B4-4F1F-8DAB-1C73180339ED}" name="Avg YPG" dataDxfId="9"/>
    <tableColumn id="11" xr3:uid="{BB3FA5AF-6C10-467E-BDBE-4B7DFB759A6D}" name="Avg YPG Allowed" dataDxfId="8"/>
    <tableColumn id="12" xr3:uid="{FC559F65-2F93-432C-A53F-89527EFB159C}" name="Avg RY PG" dataDxfId="7"/>
    <tableColumn id="13" xr3:uid="{4AFD3973-9A57-40B2-BC51-11D41D5DD9C4}" name="Avg RY PG Allowed" dataDxfId="6"/>
    <tableColumn id="14" xr3:uid="{ECCD5E31-8408-4BB3-96D9-74604A3F2C56}" name="Avg PY PG" dataDxfId="5"/>
    <tableColumn id="15" xr3:uid="{880AEB60-0FC0-44BD-B551-FFE7D98BD2C0}" name="Avg PY PG Allowed" dataDxfId="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00C12-9320-4B05-9822-93B225525879}" name="Table2" displayName="Table2" ref="B2:N34" totalsRowShown="0">
  <autoFilter ref="B2:N34" xr:uid="{49D00C12-9320-4B05-9822-93B225525879}"/>
  <sortState xmlns:xlrd2="http://schemas.microsoft.com/office/spreadsheetml/2017/richdata2" ref="B3:N34">
    <sortCondition descending="1" ref="F2:F34"/>
  </sortState>
  <tableColumns count="13">
    <tableColumn id="1" xr3:uid="{8D78BAFB-DC6C-48AA-A3E5-65D89A0C3CD9}" name="Player Name" dataDxfId="3" dataCellStyle="Hyperlink"/>
    <tableColumn id="2" xr3:uid="{79B85CC1-0D52-4B42-AAE3-0CC9647594EF}" name="Team" dataDxfId="2"/>
    <tableColumn id="4" xr3:uid="{3DA36468-3116-457F-B702-6F4A32D49108}" name="City" dataDxfId="1"/>
    <tableColumn id="3" xr3:uid="{F7A88B5F-BCFF-4C11-B688-2A24E6F4C3A4}" name="Salary" dataDxfId="0"/>
    <tableColumn id="5" xr3:uid="{1493F93C-2092-4BF6-B652-A6D6832D06DD}" name="QBR"/>
    <tableColumn id="6" xr3:uid="{37939A2C-DDD1-4223-96E5-C780E7DE7E66}" name="PAA"/>
    <tableColumn id="7" xr3:uid="{9A6A1EF6-C1CF-4D6D-BE2E-DADF93EFFF87}" name="PLAYS"/>
    <tableColumn id="8" xr3:uid="{A5CDC27D-9F9E-473F-A7C5-2C59AA467A65}" name="EPA"/>
    <tableColumn id="9" xr3:uid="{397C8404-171C-4675-9FAC-7B39B750F03D}" name="PASS"/>
    <tableColumn id="10" xr3:uid="{DE90A522-02E0-4269-A013-A95CCFA642C5}" name="RUN"/>
    <tableColumn id="11" xr3:uid="{E0C7541F-25D4-4CCF-A1DE-7D923E6447F7}" name="SACK"/>
    <tableColumn id="12" xr3:uid="{9652DFF2-2B07-45FC-A006-C660A85B3D81}" name="PEN"/>
    <tableColumn id="13" xr3:uid="{64644EC7-4AC3-49A9-8CF6-56D61B55D941}" name="RA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1B31-280E-45D3-9AE8-658B5AAF123C}">
  <dimension ref="A1:U84"/>
  <sheetViews>
    <sheetView topLeftCell="A13" workbookViewId="0">
      <selection activeCell="C3" sqref="C3:C34"/>
    </sheetView>
  </sheetViews>
  <sheetFormatPr defaultRowHeight="15"/>
  <cols>
    <col min="1" max="1" width="36.5703125" bestFit="1" customWidth="1"/>
    <col min="2" max="2" width="16" bestFit="1" customWidth="1"/>
    <col min="3" max="3" width="6.5703125" bestFit="1" customWidth="1"/>
    <col min="4" max="4" width="12.85546875" bestFit="1" customWidth="1"/>
    <col min="5" max="5" width="11.140625" bestFit="1" customWidth="1"/>
    <col min="6" max="6" width="7.5703125" customWidth="1"/>
    <col min="7" max="7" width="12.85546875" bestFit="1" customWidth="1"/>
    <col min="8" max="8" width="13" bestFit="1" customWidth="1"/>
    <col min="9" max="10" width="13" customWidth="1"/>
    <col min="11" max="11" width="12.85546875" bestFit="1" customWidth="1"/>
    <col min="12" max="12" width="15" bestFit="1" customWidth="1"/>
    <col min="13" max="13" width="15.140625" bestFit="1" customWidth="1"/>
    <col min="14" max="14" width="10.5703125" bestFit="1" customWidth="1"/>
    <col min="15" max="15" width="18.42578125" bestFit="1" customWidth="1"/>
    <col min="16" max="16" width="10.5703125" bestFit="1" customWidth="1"/>
    <col min="17" max="17" width="18.42578125" bestFit="1" customWidth="1"/>
    <col min="18" max="18" width="12.28515625" bestFit="1" customWidth="1"/>
    <col min="19" max="19" width="20.140625" bestFit="1" customWidth="1"/>
    <col min="20" max="20" width="12.140625" bestFit="1" customWidth="1"/>
    <col min="21" max="21" width="20" bestFit="1" customWidth="1"/>
  </cols>
  <sheetData>
    <row r="1" spans="1:21">
      <c r="D1">
        <v>1</v>
      </c>
    </row>
    <row r="2" spans="1:21">
      <c r="A2" s="1" t="e">
        <f>VALUE(SUBSTITUTE(SUBSTITUTE(D2,"",""),",",""))</f>
        <v>#VALUE!</v>
      </c>
      <c r="B2" t="s">
        <v>0</v>
      </c>
      <c r="C2" t="s">
        <v>1</v>
      </c>
      <c r="D2" s="2" t="s">
        <v>2</v>
      </c>
      <c r="E2" t="s">
        <v>3</v>
      </c>
      <c r="F2" s="1" t="s">
        <v>4</v>
      </c>
      <c r="G2" s="1" t="s">
        <v>5</v>
      </c>
      <c r="H2" t="s">
        <v>6</v>
      </c>
      <c r="I2" t="s">
        <v>7</v>
      </c>
      <c r="J2" t="s">
        <v>8</v>
      </c>
      <c r="K2" s="1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1:21">
      <c r="B3" t="s">
        <v>20</v>
      </c>
      <c r="C3" t="s">
        <v>21</v>
      </c>
      <c r="D3" s="2">
        <v>321963492</v>
      </c>
      <c r="E3" s="2">
        <v>12</v>
      </c>
      <c r="F3">
        <f>17 - Table1[[#This Row],[Wins]]</f>
        <v>5</v>
      </c>
      <c r="G3">
        <v>0</v>
      </c>
      <c r="H3" s="2">
        <v>49</v>
      </c>
      <c r="I3" s="2">
        <v>15</v>
      </c>
      <c r="J3" s="2">
        <v>33</v>
      </c>
      <c r="K3" s="2">
        <v>2</v>
      </c>
      <c r="L3" s="2"/>
      <c r="M3" s="2">
        <v>4318</v>
      </c>
      <c r="N3" s="2"/>
      <c r="O3" s="2"/>
      <c r="P3" s="2"/>
      <c r="Q3" s="2"/>
      <c r="R3" s="2"/>
      <c r="S3" s="2"/>
      <c r="T3" s="2"/>
      <c r="U3" s="2"/>
    </row>
    <row r="4" spans="1:21">
      <c r="B4" t="s">
        <v>22</v>
      </c>
      <c r="C4" t="s">
        <v>23</v>
      </c>
      <c r="D4" s="2">
        <v>280865543</v>
      </c>
      <c r="E4" s="2">
        <v>11</v>
      </c>
      <c r="F4">
        <f>17 - Table1[[#This Row],[Wins]]</f>
        <v>6</v>
      </c>
      <c r="G4">
        <v>0</v>
      </c>
      <c r="H4" s="2">
        <v>49</v>
      </c>
      <c r="I4" s="2">
        <v>19</v>
      </c>
      <c r="J4" s="2">
        <v>28</v>
      </c>
      <c r="K4" s="2">
        <v>3</v>
      </c>
      <c r="L4" s="2"/>
      <c r="M4" s="2">
        <v>3991</v>
      </c>
      <c r="N4" s="2"/>
      <c r="O4" s="2"/>
      <c r="P4" s="2"/>
      <c r="Q4" s="2"/>
      <c r="R4" s="2"/>
      <c r="S4" s="2"/>
      <c r="T4" s="2"/>
      <c r="U4" s="2"/>
    </row>
    <row r="5" spans="1:21">
      <c r="B5" t="s">
        <v>24</v>
      </c>
      <c r="C5" t="s">
        <v>25</v>
      </c>
      <c r="D5" s="2">
        <v>276850042</v>
      </c>
      <c r="E5" s="2">
        <v>6</v>
      </c>
      <c r="F5">
        <f>17 - Table1[[#This Row],[Wins]]</f>
        <v>11</v>
      </c>
      <c r="G5">
        <v>0</v>
      </c>
      <c r="H5" s="2">
        <v>49</v>
      </c>
      <c r="I5" s="2">
        <v>11</v>
      </c>
      <c r="J5" s="2">
        <v>36</v>
      </c>
      <c r="K5" s="2">
        <v>2</v>
      </c>
      <c r="L5" s="2">
        <v>5596</v>
      </c>
      <c r="M5" s="2">
        <v>4244</v>
      </c>
      <c r="N5" s="2"/>
      <c r="O5" s="2"/>
      <c r="P5" s="2">
        <f>SUM(R5,T5)</f>
        <v>373.1</v>
      </c>
      <c r="Q5" s="2">
        <f>SUM(S5,U5)</f>
        <v>431.66660000000002</v>
      </c>
      <c r="R5" s="2">
        <v>106.1</v>
      </c>
      <c r="S5" s="2">
        <v>166.66659999999999</v>
      </c>
      <c r="T5" s="2">
        <v>267</v>
      </c>
      <c r="U5" s="2">
        <v>265</v>
      </c>
    </row>
    <row r="6" spans="1:21">
      <c r="B6" t="s">
        <v>26</v>
      </c>
      <c r="C6" t="s">
        <v>27</v>
      </c>
      <c r="D6" s="2">
        <v>276850267</v>
      </c>
      <c r="E6" s="2">
        <v>12</v>
      </c>
      <c r="F6">
        <f>17 - Table1[[#This Row],[Wins]]</f>
        <v>5</v>
      </c>
      <c r="G6">
        <v>0</v>
      </c>
      <c r="H6" s="2">
        <v>62</v>
      </c>
      <c r="I6" s="2">
        <v>30</v>
      </c>
      <c r="J6" s="2">
        <v>29</v>
      </c>
      <c r="K6" s="2">
        <v>2</v>
      </c>
      <c r="L6" s="2"/>
      <c r="M6" s="2">
        <v>3981</v>
      </c>
      <c r="N6" s="2"/>
      <c r="O6" s="2"/>
      <c r="P6" s="2"/>
      <c r="Q6" s="2"/>
      <c r="R6" s="2"/>
      <c r="S6" s="2"/>
      <c r="T6" s="2"/>
      <c r="U6" s="2"/>
    </row>
    <row r="7" spans="1:21">
      <c r="B7" t="s">
        <v>28</v>
      </c>
      <c r="C7" t="s">
        <v>29</v>
      </c>
      <c r="D7" s="2">
        <v>263592810</v>
      </c>
      <c r="E7" s="2">
        <v>14</v>
      </c>
      <c r="F7">
        <f>17 - Table1[[#This Row],[Wins]]</f>
        <v>3</v>
      </c>
      <c r="G7">
        <v>0</v>
      </c>
      <c r="H7" s="2">
        <v>45</v>
      </c>
      <c r="I7" s="2">
        <v>18</v>
      </c>
      <c r="J7" s="2">
        <v>25</v>
      </c>
      <c r="K7" s="2">
        <v>4</v>
      </c>
      <c r="L7" s="2"/>
      <c r="M7" s="2">
        <v>3931</v>
      </c>
      <c r="N7" s="2"/>
      <c r="O7" s="2"/>
      <c r="P7" s="2"/>
      <c r="Q7" s="2"/>
      <c r="R7" s="2"/>
      <c r="S7" s="2"/>
      <c r="T7" s="2"/>
      <c r="U7" s="2"/>
    </row>
    <row r="8" spans="1:21">
      <c r="B8" t="s">
        <v>30</v>
      </c>
      <c r="C8" t="s">
        <v>31</v>
      </c>
      <c r="D8" s="2">
        <v>306533606</v>
      </c>
      <c r="E8" s="2">
        <v>5</v>
      </c>
      <c r="F8">
        <f>17 - Table1[[#This Row],[Wins]]</f>
        <v>12</v>
      </c>
      <c r="G8">
        <v>0</v>
      </c>
      <c r="H8" s="2">
        <v>30</v>
      </c>
      <c r="I8" s="2">
        <v>10</v>
      </c>
      <c r="J8" s="2">
        <v>16</v>
      </c>
      <c r="K8" s="2">
        <v>1</v>
      </c>
      <c r="L8" s="2"/>
      <c r="M8" s="2">
        <v>3152</v>
      </c>
      <c r="N8" s="2"/>
      <c r="O8" s="2"/>
      <c r="P8" s="2"/>
      <c r="Q8" s="2"/>
      <c r="R8" s="2"/>
      <c r="S8" s="2"/>
      <c r="T8" s="2"/>
      <c r="U8" s="2"/>
    </row>
    <row r="9" spans="1:21">
      <c r="B9" t="s">
        <v>32</v>
      </c>
      <c r="C9" t="s">
        <v>33</v>
      </c>
      <c r="D9" s="2">
        <v>276521053</v>
      </c>
      <c r="E9" s="2">
        <v>8</v>
      </c>
      <c r="F9">
        <f>17 - Table1[[#This Row],[Wins]]</f>
        <v>9</v>
      </c>
      <c r="G9">
        <v>0</v>
      </c>
      <c r="H9" s="2">
        <v>41</v>
      </c>
      <c r="I9" s="2">
        <v>13</v>
      </c>
      <c r="J9" s="2">
        <v>26</v>
      </c>
      <c r="K9" s="2">
        <v>2</v>
      </c>
      <c r="L9" s="2"/>
      <c r="M9" s="2">
        <v>3755</v>
      </c>
      <c r="N9" s="2"/>
      <c r="O9" s="2"/>
      <c r="P9" s="2"/>
      <c r="Q9" s="2"/>
      <c r="R9" s="2"/>
      <c r="S9" s="2"/>
      <c r="T9" s="2"/>
      <c r="U9" s="2"/>
    </row>
    <row r="10" spans="1:21">
      <c r="B10" t="s">
        <v>34</v>
      </c>
      <c r="C10" t="s">
        <v>35</v>
      </c>
      <c r="D10" s="2">
        <v>280114044</v>
      </c>
      <c r="E10" s="2">
        <v>3</v>
      </c>
      <c r="F10">
        <f>17 - Table1[[#This Row],[Wins]]</f>
        <v>14</v>
      </c>
      <c r="G10">
        <v>0</v>
      </c>
      <c r="H10" s="2">
        <v>40</v>
      </c>
      <c r="I10" s="2">
        <v>9</v>
      </c>
      <c r="J10" s="2">
        <v>29</v>
      </c>
      <c r="K10" s="2">
        <v>1</v>
      </c>
      <c r="L10" s="2"/>
      <c r="M10" s="2">
        <v>4354</v>
      </c>
      <c r="N10" s="2"/>
      <c r="O10" s="2"/>
      <c r="P10" s="2"/>
      <c r="Q10" s="2"/>
      <c r="R10" s="2"/>
      <c r="S10" s="2"/>
      <c r="T10" s="2"/>
      <c r="U10" s="2"/>
    </row>
    <row r="11" spans="1:21">
      <c r="B11" t="s">
        <v>36</v>
      </c>
      <c r="C11" t="s">
        <v>37</v>
      </c>
      <c r="D11" s="2">
        <v>282174401</v>
      </c>
      <c r="E11" s="2">
        <v>11</v>
      </c>
      <c r="F11">
        <f>17 - Table1[[#This Row],[Wins]]</f>
        <v>6</v>
      </c>
      <c r="G11">
        <v>0</v>
      </c>
      <c r="H11" s="2">
        <v>36</v>
      </c>
      <c r="I11" s="2">
        <v>10</v>
      </c>
      <c r="J11" s="2">
        <v>26</v>
      </c>
      <c r="K11" s="2">
        <v>1</v>
      </c>
      <c r="L11" s="2"/>
      <c r="M11" s="2">
        <v>3953</v>
      </c>
      <c r="N11" s="2"/>
      <c r="O11" s="2"/>
      <c r="P11" s="2"/>
      <c r="Q11" s="2"/>
      <c r="R11" s="2"/>
      <c r="S11" s="2"/>
      <c r="T11" s="2"/>
      <c r="U11" s="2"/>
    </row>
    <row r="12" spans="1:21">
      <c r="B12" t="s">
        <v>38</v>
      </c>
      <c r="C12" t="s">
        <v>39</v>
      </c>
      <c r="D12" s="2">
        <v>285522835</v>
      </c>
      <c r="E12" s="2">
        <v>6</v>
      </c>
      <c r="F12">
        <f>17 - Table1[[#This Row],[Wins]]</f>
        <v>11</v>
      </c>
      <c r="G12">
        <v>0</v>
      </c>
      <c r="H12" s="2">
        <v>38</v>
      </c>
      <c r="I12" s="2">
        <v>15</v>
      </c>
      <c r="J12" s="2">
        <v>23</v>
      </c>
      <c r="K12" s="2">
        <v>2</v>
      </c>
      <c r="L12" s="2"/>
      <c r="M12" s="2">
        <v>3947</v>
      </c>
      <c r="N12" s="2"/>
      <c r="O12" s="2"/>
      <c r="P12" s="2"/>
      <c r="Q12" s="2"/>
      <c r="R12" s="2"/>
      <c r="S12" s="2"/>
      <c r="T12" s="2"/>
      <c r="U12" s="2"/>
    </row>
    <row r="13" spans="1:21">
      <c r="B13" t="s">
        <v>40</v>
      </c>
      <c r="C13" t="s">
        <v>41</v>
      </c>
      <c r="D13" s="2">
        <v>290299719</v>
      </c>
      <c r="E13" s="2">
        <v>8</v>
      </c>
      <c r="F13">
        <f>17 - Table1[[#This Row],[Wins]]</f>
        <v>9</v>
      </c>
      <c r="G13">
        <v>0</v>
      </c>
      <c r="H13" s="2">
        <v>53</v>
      </c>
      <c r="I13" s="2">
        <v>27</v>
      </c>
      <c r="J13" s="2">
        <v>25</v>
      </c>
      <c r="K13" s="2">
        <v>2</v>
      </c>
      <c r="L13" s="2"/>
      <c r="M13" s="2">
        <v>4085</v>
      </c>
      <c r="N13" s="2"/>
      <c r="O13" s="2"/>
      <c r="P13" s="2"/>
      <c r="Q13" s="2"/>
      <c r="R13" s="2"/>
      <c r="S13" s="2"/>
      <c r="T13" s="2"/>
      <c r="U13" s="2"/>
    </row>
    <row r="14" spans="1:21">
      <c r="B14" t="s">
        <v>42</v>
      </c>
      <c r="C14" t="s">
        <v>43</v>
      </c>
      <c r="D14" s="2">
        <v>275319901</v>
      </c>
      <c r="E14" s="2">
        <v>5</v>
      </c>
      <c r="F14">
        <f>17 - Table1[[#This Row],[Wins]]</f>
        <v>12</v>
      </c>
      <c r="G14">
        <v>0</v>
      </c>
      <c r="H14">
        <v>41</v>
      </c>
      <c r="I14">
        <v>20</v>
      </c>
      <c r="J14">
        <v>19</v>
      </c>
      <c r="K14">
        <v>3</v>
      </c>
      <c r="M14">
        <v>3329</v>
      </c>
    </row>
    <row r="15" spans="1:21">
      <c r="B15" t="s">
        <v>44</v>
      </c>
      <c r="C15" t="s">
        <v>45</v>
      </c>
      <c r="D15" s="2">
        <v>284921924</v>
      </c>
      <c r="E15" s="2">
        <v>7</v>
      </c>
      <c r="F15">
        <v>9</v>
      </c>
      <c r="G15">
        <v>1</v>
      </c>
      <c r="H15" s="2">
        <v>51</v>
      </c>
      <c r="I15" s="2">
        <v>18</v>
      </c>
      <c r="J15" s="2">
        <v>31</v>
      </c>
      <c r="K15" s="2">
        <v>3</v>
      </c>
      <c r="L15" s="2"/>
      <c r="M15" s="2">
        <v>4735</v>
      </c>
      <c r="N15" s="2"/>
      <c r="O15" s="2"/>
      <c r="P15" s="2"/>
      <c r="Q15" s="2"/>
      <c r="R15" s="2"/>
      <c r="S15" s="2"/>
      <c r="T15" s="2"/>
      <c r="U15" s="2"/>
    </row>
    <row r="16" spans="1:21">
      <c r="B16" t="s">
        <v>46</v>
      </c>
      <c r="C16" t="s">
        <v>47</v>
      </c>
      <c r="D16" s="2">
        <v>285024043</v>
      </c>
      <c r="E16" s="2">
        <v>7</v>
      </c>
      <c r="F16">
        <f>17 - Table1[[#This Row],[Wins]]</f>
        <v>10</v>
      </c>
      <c r="G16">
        <v>0</v>
      </c>
      <c r="H16" s="2">
        <v>38</v>
      </c>
      <c r="I16" s="2">
        <v>14</v>
      </c>
      <c r="J16" s="2">
        <v>23</v>
      </c>
      <c r="K16" s="2">
        <v>1</v>
      </c>
      <c r="L16" s="2"/>
      <c r="M16" s="2">
        <v>3322</v>
      </c>
      <c r="N16" s="2"/>
      <c r="O16" s="2"/>
      <c r="P16" s="2"/>
      <c r="Q16" s="2"/>
      <c r="R16" s="2"/>
      <c r="S16" s="2"/>
      <c r="T16" s="2"/>
      <c r="U16" s="2"/>
    </row>
    <row r="17" spans="2:21">
      <c r="B17" t="s">
        <v>48</v>
      </c>
      <c r="C17" t="s">
        <v>49</v>
      </c>
      <c r="D17" s="2">
        <v>276853266</v>
      </c>
      <c r="E17" s="2">
        <v>11</v>
      </c>
      <c r="F17">
        <f>17 - Table1[[#This Row],[Wins]]</f>
        <v>6</v>
      </c>
      <c r="G17">
        <v>0</v>
      </c>
      <c r="H17" s="2">
        <v>46</v>
      </c>
      <c r="I17" s="2">
        <v>17</v>
      </c>
      <c r="J17" s="2">
        <v>26</v>
      </c>
      <c r="K17" s="2">
        <v>1</v>
      </c>
      <c r="L17" s="2"/>
      <c r="M17" s="2">
        <v>3498</v>
      </c>
      <c r="N17" s="2"/>
      <c r="O17" s="2"/>
      <c r="P17" s="2"/>
      <c r="Q17" s="2"/>
      <c r="R17" s="2"/>
      <c r="S17" s="2"/>
      <c r="T17" s="2"/>
      <c r="U17" s="2"/>
    </row>
    <row r="18" spans="2:21">
      <c r="B18" t="s">
        <v>50</v>
      </c>
      <c r="C18" t="s">
        <v>51</v>
      </c>
      <c r="D18" s="2">
        <v>281482715</v>
      </c>
      <c r="E18" s="2">
        <v>8</v>
      </c>
      <c r="F18">
        <f>17 - Table1[[#This Row],[Wins]]</f>
        <v>9</v>
      </c>
      <c r="G18">
        <v>0</v>
      </c>
      <c r="H18" s="2">
        <v>37</v>
      </c>
      <c r="I18" s="2">
        <v>17</v>
      </c>
      <c r="J18" s="2">
        <v>19</v>
      </c>
      <c r="K18" s="2">
        <v>2</v>
      </c>
      <c r="L18" s="2"/>
      <c r="M18" s="2">
        <v>3703</v>
      </c>
      <c r="N18" s="2"/>
      <c r="O18" s="2"/>
      <c r="P18" s="2"/>
      <c r="Q18" s="2"/>
      <c r="R18" s="2"/>
      <c r="S18" s="2"/>
      <c r="T18" s="2"/>
      <c r="U18" s="2"/>
    </row>
    <row r="19" spans="2:21">
      <c r="B19" t="s">
        <v>52</v>
      </c>
      <c r="C19" t="s">
        <v>53</v>
      </c>
      <c r="D19" s="2">
        <v>288894176</v>
      </c>
      <c r="E19" s="2">
        <v>4</v>
      </c>
      <c r="F19">
        <f>17 - Table1[[#This Row],[Wins]]</f>
        <v>13</v>
      </c>
      <c r="G19">
        <v>0</v>
      </c>
      <c r="H19" s="2">
        <v>45</v>
      </c>
      <c r="I19" s="2">
        <v>22</v>
      </c>
      <c r="J19" s="2">
        <v>21</v>
      </c>
      <c r="K19" s="2">
        <v>3</v>
      </c>
      <c r="L19" s="2"/>
      <c r="M19" s="2">
        <v>3703</v>
      </c>
      <c r="N19" s="2"/>
      <c r="O19" s="2"/>
      <c r="P19" s="2"/>
      <c r="Q19" s="2"/>
      <c r="R19" s="2"/>
      <c r="S19" s="2"/>
      <c r="T19" s="2"/>
      <c r="U19" s="2"/>
    </row>
    <row r="20" spans="2:21">
      <c r="B20" t="s">
        <v>54</v>
      </c>
      <c r="C20" t="s">
        <v>55</v>
      </c>
      <c r="D20" s="2">
        <v>290936667</v>
      </c>
      <c r="E20" s="2">
        <v>13</v>
      </c>
      <c r="F20">
        <f>17 - Table1[[#This Row],[Wins]]</f>
        <v>4</v>
      </c>
      <c r="G20">
        <v>0</v>
      </c>
      <c r="H20" s="2">
        <v>55</v>
      </c>
      <c r="I20" s="2">
        <v>22</v>
      </c>
      <c r="J20" s="2">
        <v>29</v>
      </c>
      <c r="K20" s="2">
        <v>1</v>
      </c>
      <c r="L20" s="2"/>
      <c r="M20" s="2">
        <v>4026</v>
      </c>
      <c r="N20" s="2"/>
      <c r="O20" s="2"/>
      <c r="P20" s="2"/>
      <c r="Q20" s="2"/>
      <c r="R20" s="2"/>
      <c r="S20" s="2"/>
      <c r="T20" s="2"/>
      <c r="U20" s="2"/>
    </row>
    <row r="21" spans="2:21">
      <c r="B21" t="s">
        <v>56</v>
      </c>
      <c r="C21" t="s">
        <v>57</v>
      </c>
      <c r="D21" s="2">
        <v>267573038</v>
      </c>
      <c r="E21" s="2">
        <v>3</v>
      </c>
      <c r="F21">
        <f>17 - Table1[[#This Row],[Wins]]</f>
        <v>14</v>
      </c>
      <c r="G21">
        <v>0</v>
      </c>
      <c r="H21" s="2">
        <v>30</v>
      </c>
      <c r="I21" s="2">
        <v>11</v>
      </c>
      <c r="J21" s="2">
        <v>15</v>
      </c>
      <c r="K21" s="2">
        <v>6</v>
      </c>
      <c r="L21" s="2"/>
      <c r="M21" s="2">
        <v>2784</v>
      </c>
      <c r="N21" s="2"/>
      <c r="O21" s="2"/>
      <c r="P21" s="2"/>
      <c r="Q21" s="2"/>
      <c r="R21" s="2"/>
      <c r="S21" s="2"/>
      <c r="T21" s="2"/>
      <c r="U21" s="2"/>
    </row>
    <row r="22" spans="2:21">
      <c r="B22" t="s">
        <v>58</v>
      </c>
      <c r="C22" t="s">
        <v>59</v>
      </c>
      <c r="D22" s="2">
        <v>286864619</v>
      </c>
      <c r="E22" s="2">
        <v>9</v>
      </c>
      <c r="F22">
        <f>17 - Table1[[#This Row],[Wins]]</f>
        <v>8</v>
      </c>
      <c r="G22">
        <v>0</v>
      </c>
      <c r="H22" s="2">
        <v>57</v>
      </c>
      <c r="I22" s="2">
        <v>21</v>
      </c>
      <c r="J22" s="2">
        <v>35</v>
      </c>
      <c r="K22" s="2">
        <v>1</v>
      </c>
      <c r="L22" s="2"/>
      <c r="M22" s="2">
        <v>4567</v>
      </c>
      <c r="N22" s="2"/>
      <c r="O22" s="2"/>
      <c r="P22" s="2"/>
      <c r="Q22" s="2"/>
      <c r="R22" s="2"/>
      <c r="S22" s="2"/>
      <c r="T22" s="2"/>
      <c r="U22" s="2"/>
    </row>
    <row r="23" spans="2:21">
      <c r="B23" t="s">
        <v>60</v>
      </c>
      <c r="C23" t="s">
        <v>61</v>
      </c>
      <c r="D23" s="2">
        <v>290073531</v>
      </c>
      <c r="E23" s="2">
        <v>9</v>
      </c>
      <c r="F23">
        <v>7</v>
      </c>
      <c r="G23">
        <v>1</v>
      </c>
      <c r="H23" s="2">
        <v>44</v>
      </c>
      <c r="I23" s="2">
        <v>18</v>
      </c>
      <c r="J23" s="2">
        <v>26</v>
      </c>
      <c r="K23" s="2">
        <v>2</v>
      </c>
      <c r="L23" s="2"/>
      <c r="M23" s="2">
        <v>3845</v>
      </c>
      <c r="N23" s="2"/>
      <c r="O23" s="2"/>
      <c r="P23" s="2"/>
      <c r="Q23" s="2"/>
      <c r="R23" s="2"/>
      <c r="S23" s="2"/>
      <c r="T23" s="2"/>
      <c r="U23" s="2"/>
    </row>
    <row r="24" spans="2:21">
      <c r="B24" t="s">
        <v>62</v>
      </c>
      <c r="C24" t="s">
        <v>63</v>
      </c>
      <c r="D24" s="2">
        <v>266178392</v>
      </c>
      <c r="E24" s="2">
        <v>8</v>
      </c>
      <c r="F24">
        <f>17 - Table1[[#This Row],[Wins]]</f>
        <v>9</v>
      </c>
      <c r="G24">
        <v>0</v>
      </c>
      <c r="H24" s="2">
        <v>35</v>
      </c>
      <c r="I24" s="2">
        <v>9</v>
      </c>
      <c r="J24" s="2">
        <v>24</v>
      </c>
      <c r="K24" s="2">
        <v>1</v>
      </c>
      <c r="L24" s="2"/>
      <c r="M24" s="2">
        <v>3304</v>
      </c>
      <c r="N24" s="2"/>
      <c r="O24" s="2"/>
      <c r="P24" s="2"/>
      <c r="Q24" s="2"/>
      <c r="R24" s="2"/>
      <c r="S24" s="2"/>
      <c r="T24" s="2"/>
      <c r="U24" s="2"/>
    </row>
    <row r="25" spans="2:21">
      <c r="B25" t="s">
        <v>64</v>
      </c>
      <c r="C25" t="s">
        <v>65</v>
      </c>
      <c r="D25" s="2">
        <v>274200537</v>
      </c>
      <c r="E25" s="2">
        <v>14</v>
      </c>
      <c r="F25">
        <f>17 - Table1[[#This Row],[Wins]]</f>
        <v>3</v>
      </c>
      <c r="G25">
        <v>0</v>
      </c>
      <c r="H25" s="2">
        <v>58</v>
      </c>
      <c r="I25" s="2">
        <v>22</v>
      </c>
      <c r="J25" s="2">
        <v>31</v>
      </c>
      <c r="K25" s="2">
        <v>3</v>
      </c>
      <c r="L25" s="2"/>
      <c r="M25" s="2">
        <v>4459</v>
      </c>
      <c r="N25" s="2"/>
      <c r="O25" s="2"/>
      <c r="P25" s="2"/>
      <c r="Q25" s="2"/>
      <c r="R25" s="2"/>
      <c r="S25" s="2"/>
      <c r="T25" s="2"/>
      <c r="U25" s="2"/>
    </row>
    <row r="26" spans="2:21">
      <c r="B26" t="s">
        <v>66</v>
      </c>
      <c r="C26" t="s">
        <v>67</v>
      </c>
      <c r="D26" s="2">
        <v>290738282</v>
      </c>
      <c r="E26" s="2">
        <v>3</v>
      </c>
      <c r="F26">
        <f>17 - Table1[[#This Row],[Wins]]</f>
        <v>14</v>
      </c>
      <c r="G26">
        <v>0</v>
      </c>
      <c r="H26" s="2">
        <v>25</v>
      </c>
      <c r="I26" s="2">
        <v>5</v>
      </c>
      <c r="J26" s="2">
        <v>20</v>
      </c>
      <c r="K26" s="2">
        <v>1</v>
      </c>
      <c r="L26" s="2"/>
      <c r="M26" s="2">
        <v>3315</v>
      </c>
      <c r="N26" s="2"/>
      <c r="O26" s="2"/>
      <c r="P26" s="2"/>
      <c r="Q26" s="2"/>
      <c r="R26" s="2"/>
      <c r="S26" s="2"/>
      <c r="T26" s="2"/>
      <c r="U26" s="2"/>
    </row>
    <row r="27" spans="2:21">
      <c r="B27" t="s">
        <v>68</v>
      </c>
      <c r="C27" t="s">
        <v>69</v>
      </c>
      <c r="D27" s="2">
        <v>276138648</v>
      </c>
      <c r="E27" s="2">
        <v>12</v>
      </c>
      <c r="F27">
        <f>17 - Table1[[#This Row],[Wins]]</f>
        <v>5</v>
      </c>
      <c r="G27">
        <v>0</v>
      </c>
      <c r="H27" s="2">
        <v>65</v>
      </c>
      <c r="I27" s="2">
        <v>17</v>
      </c>
      <c r="J27" s="2">
        <v>46</v>
      </c>
      <c r="K27" s="2">
        <v>0</v>
      </c>
      <c r="L27" s="2"/>
      <c r="M27" s="2">
        <v>4707</v>
      </c>
      <c r="N27" s="2"/>
      <c r="O27" s="2"/>
      <c r="P27" s="2"/>
      <c r="Q27" s="2"/>
      <c r="R27" s="2"/>
      <c r="S27" s="2"/>
      <c r="T27" s="2"/>
      <c r="U27" s="2"/>
    </row>
    <row r="28" spans="2:21">
      <c r="B28" t="s">
        <v>70</v>
      </c>
      <c r="C28" t="s">
        <v>71</v>
      </c>
      <c r="D28" s="2">
        <v>268372660</v>
      </c>
      <c r="E28" s="2">
        <v>8</v>
      </c>
      <c r="F28">
        <f>17 - Table1[[#This Row],[Wins]]</f>
        <v>9</v>
      </c>
      <c r="G28">
        <v>0</v>
      </c>
      <c r="H28" s="2">
        <v>48</v>
      </c>
      <c r="I28" s="2">
        <v>23</v>
      </c>
      <c r="J28" s="2">
        <v>23</v>
      </c>
      <c r="K28" s="2">
        <v>1</v>
      </c>
      <c r="L28" s="2"/>
      <c r="M28" s="2">
        <v>3278</v>
      </c>
      <c r="N28" s="2"/>
      <c r="O28" s="2"/>
      <c r="P28" s="2"/>
      <c r="Q28" s="2"/>
      <c r="R28" s="2"/>
      <c r="S28" s="2"/>
      <c r="T28" s="2"/>
      <c r="U28" s="2"/>
    </row>
    <row r="29" spans="2:21">
      <c r="B29" t="s">
        <v>72</v>
      </c>
      <c r="C29" t="s">
        <v>73</v>
      </c>
      <c r="D29" s="2">
        <v>273842666</v>
      </c>
      <c r="E29" s="2">
        <v>6</v>
      </c>
      <c r="F29">
        <f>17 - Table1[[#This Row],[Wins]]</f>
        <v>11</v>
      </c>
      <c r="G29">
        <v>0</v>
      </c>
      <c r="H29" s="2">
        <v>31</v>
      </c>
      <c r="I29" s="2">
        <v>9</v>
      </c>
      <c r="J29" s="2">
        <v>19</v>
      </c>
      <c r="K29" s="2">
        <v>1</v>
      </c>
      <c r="L29" s="2"/>
      <c r="M29" s="2">
        <v>4027</v>
      </c>
      <c r="N29" s="2"/>
      <c r="O29" s="2"/>
      <c r="P29" s="2"/>
      <c r="Q29" s="2"/>
      <c r="R29" s="2"/>
      <c r="S29" s="2"/>
      <c r="T29" s="2"/>
      <c r="U29" s="2"/>
    </row>
    <row r="30" spans="2:21">
      <c r="B30" t="s">
        <v>74</v>
      </c>
      <c r="C30" t="s">
        <v>75</v>
      </c>
      <c r="D30" s="2">
        <v>271548394</v>
      </c>
      <c r="E30" s="2">
        <v>14</v>
      </c>
      <c r="F30">
        <f>17 - Table1[[#This Row],[Wins]]</f>
        <v>3</v>
      </c>
      <c r="G30">
        <v>0</v>
      </c>
      <c r="H30" s="2">
        <v>51</v>
      </c>
      <c r="I30" s="2">
        <v>19</v>
      </c>
      <c r="J30" s="2">
        <v>25</v>
      </c>
      <c r="K30" s="2">
        <v>3</v>
      </c>
      <c r="L30" s="2"/>
      <c r="M30" s="2">
        <v>4063</v>
      </c>
      <c r="N30" s="2"/>
      <c r="O30" s="2"/>
      <c r="P30" s="2"/>
      <c r="Q30" s="2"/>
      <c r="R30" s="2"/>
      <c r="S30" s="2"/>
      <c r="T30" s="2"/>
      <c r="U30" s="2"/>
    </row>
    <row r="31" spans="2:21">
      <c r="B31" t="s">
        <v>76</v>
      </c>
      <c r="C31" t="s">
        <v>77</v>
      </c>
      <c r="D31" s="2">
        <v>269301103</v>
      </c>
      <c r="E31" s="2">
        <v>10</v>
      </c>
      <c r="F31">
        <f>17 - Table1[[#This Row],[Wins]]</f>
        <v>7</v>
      </c>
      <c r="G31">
        <v>0</v>
      </c>
      <c r="H31" s="2">
        <v>45</v>
      </c>
      <c r="I31" s="2">
        <v>16</v>
      </c>
      <c r="J31" s="2">
        <v>26</v>
      </c>
      <c r="K31" s="2">
        <v>1</v>
      </c>
      <c r="L31" s="2"/>
      <c r="M31" s="2">
        <v>3632</v>
      </c>
      <c r="N31" s="2"/>
      <c r="O31" s="2"/>
      <c r="P31" s="2"/>
      <c r="Q31" s="2"/>
      <c r="R31" s="2"/>
      <c r="S31" s="2"/>
      <c r="T31" s="2"/>
      <c r="U31" s="2"/>
    </row>
    <row r="32" spans="2:21">
      <c r="B32" t="s">
        <v>78</v>
      </c>
      <c r="C32" t="s">
        <v>79</v>
      </c>
      <c r="D32" s="2">
        <v>281228279</v>
      </c>
      <c r="E32" s="2">
        <v>12</v>
      </c>
      <c r="F32">
        <f>17 - Table1[[#This Row],[Wins]]</f>
        <v>5</v>
      </c>
      <c r="G32">
        <v>0</v>
      </c>
      <c r="H32" s="2">
        <v>38</v>
      </c>
      <c r="I32" s="2">
        <v>9</v>
      </c>
      <c r="J32" s="2">
        <v>24</v>
      </c>
      <c r="K32" s="2">
        <v>1</v>
      </c>
      <c r="L32" s="2"/>
      <c r="M32" s="2">
        <v>3956</v>
      </c>
      <c r="N32" s="2"/>
      <c r="O32" s="2"/>
      <c r="P32" s="2"/>
      <c r="Q32" s="2"/>
      <c r="R32" s="2"/>
      <c r="S32" s="2"/>
      <c r="T32" s="2"/>
      <c r="U32" s="2"/>
    </row>
    <row r="33" spans="2:21">
      <c r="B33" t="s">
        <v>80</v>
      </c>
      <c r="C33" t="s">
        <v>81</v>
      </c>
      <c r="D33" s="2">
        <v>283121876</v>
      </c>
      <c r="E33" s="2">
        <v>3</v>
      </c>
      <c r="F33">
        <f>17 - Table1[[#This Row],[Wins]]</f>
        <v>14</v>
      </c>
      <c r="G33">
        <v>0</v>
      </c>
      <c r="H33" s="2">
        <v>28</v>
      </c>
      <c r="I33" s="2">
        <v>9</v>
      </c>
      <c r="J33" s="2">
        <v>15</v>
      </c>
      <c r="K33" s="2">
        <v>0</v>
      </c>
      <c r="L33" s="2"/>
      <c r="M33" s="2">
        <v>3241</v>
      </c>
      <c r="N33" s="2"/>
      <c r="O33" s="2"/>
      <c r="P33" s="2"/>
      <c r="Q33" s="2"/>
      <c r="R33" s="2"/>
      <c r="S33" s="2"/>
      <c r="T33" s="2"/>
      <c r="U33" s="2"/>
    </row>
    <row r="34" spans="2:21">
      <c r="B34" t="s">
        <v>82</v>
      </c>
      <c r="C34" t="s">
        <v>83</v>
      </c>
      <c r="D34" s="2">
        <v>270867464</v>
      </c>
      <c r="E34" s="2">
        <v>9</v>
      </c>
      <c r="F34">
        <f>17 - Table1[[#This Row],[Wins]]</f>
        <v>8</v>
      </c>
      <c r="G34">
        <v>0</v>
      </c>
      <c r="H34" s="2">
        <v>35</v>
      </c>
      <c r="I34" s="2">
        <v>15</v>
      </c>
      <c r="J34" s="2">
        <v>18</v>
      </c>
      <c r="K34" s="2">
        <v>2</v>
      </c>
      <c r="L34" s="2"/>
      <c r="M34" s="2">
        <v>3208</v>
      </c>
      <c r="N34" s="2"/>
      <c r="O34" s="2"/>
      <c r="P34" s="2"/>
      <c r="Q34" s="2"/>
      <c r="R34" s="2"/>
      <c r="S34" s="2"/>
      <c r="T34" s="2"/>
      <c r="U34" s="2"/>
    </row>
    <row r="39" spans="2:21">
      <c r="D39" s="3"/>
    </row>
    <row r="40" spans="2:21">
      <c r="D40" s="3"/>
    </row>
    <row r="41" spans="2:21">
      <c r="D41" s="3"/>
    </row>
    <row r="42" spans="2:21">
      <c r="D42" s="3"/>
    </row>
    <row r="43" spans="2:21">
      <c r="D43" s="3"/>
    </row>
    <row r="44" spans="2:21">
      <c r="D44" s="3"/>
    </row>
    <row r="45" spans="2:21">
      <c r="D45" s="3"/>
    </row>
    <row r="46" spans="2:21">
      <c r="D46" s="3"/>
    </row>
    <row r="47" spans="2:21">
      <c r="D47" s="3"/>
    </row>
    <row r="48" spans="2:21">
      <c r="D48" s="3"/>
    </row>
    <row r="49" spans="4:5">
      <c r="D49" s="3"/>
    </row>
    <row r="50" spans="4:5">
      <c r="D50" s="3"/>
    </row>
    <row r="51" spans="4:5">
      <c r="D51" s="3"/>
    </row>
    <row r="52" spans="4:5">
      <c r="D52" s="3"/>
    </row>
    <row r="53" spans="4:5">
      <c r="D53" s="3"/>
      <c r="E53" s="3"/>
    </row>
    <row r="54" spans="4:5">
      <c r="D54" s="3"/>
      <c r="E54" s="3"/>
    </row>
    <row r="55" spans="4:5">
      <c r="D55" s="3"/>
      <c r="E55" s="3"/>
    </row>
    <row r="56" spans="4:5">
      <c r="E56" s="3"/>
    </row>
    <row r="57" spans="4:5">
      <c r="D57" s="3"/>
      <c r="E57" s="3"/>
    </row>
    <row r="58" spans="4:5">
      <c r="D58" s="3"/>
      <c r="E58" s="3"/>
    </row>
    <row r="59" spans="4:5">
      <c r="D59" s="3"/>
      <c r="E59" s="3"/>
    </row>
    <row r="60" spans="4:5">
      <c r="D60" s="3"/>
      <c r="E60" s="3"/>
    </row>
    <row r="61" spans="4:5">
      <c r="E61" s="3"/>
    </row>
    <row r="62" spans="4:5">
      <c r="E62" s="3"/>
    </row>
    <row r="63" spans="4:5">
      <c r="D63" s="3"/>
      <c r="E63" s="3"/>
    </row>
    <row r="64" spans="4:5">
      <c r="D64" s="3"/>
      <c r="E64" s="3"/>
    </row>
    <row r="65" spans="4:5">
      <c r="D65" s="3"/>
      <c r="E65" s="3"/>
    </row>
    <row r="66" spans="4:5">
      <c r="D66" s="3"/>
      <c r="E66" s="3"/>
    </row>
    <row r="67" spans="4:5">
      <c r="D67" s="3"/>
      <c r="E67" s="3"/>
    </row>
    <row r="69" spans="4:5">
      <c r="D69" s="3"/>
    </row>
    <row r="73" spans="4:5">
      <c r="E73" s="3"/>
    </row>
    <row r="74" spans="4:5">
      <c r="E74" s="3"/>
    </row>
    <row r="75" spans="4:5">
      <c r="E75" s="3"/>
    </row>
    <row r="76" spans="4:5">
      <c r="E76" s="3"/>
    </row>
    <row r="77" spans="4:5">
      <c r="E77" s="3"/>
    </row>
    <row r="78" spans="4:5">
      <c r="E78" s="3"/>
    </row>
    <row r="79" spans="4:5">
      <c r="E79" s="3"/>
    </row>
    <row r="80" spans="4:5">
      <c r="E80" s="3"/>
    </row>
    <row r="81" spans="5:5">
      <c r="E81" s="3"/>
    </row>
    <row r="82" spans="5:5">
      <c r="E82" s="3"/>
    </row>
    <row r="83" spans="5:5">
      <c r="E83" s="3"/>
    </row>
    <row r="84" spans="5:5">
      <c r="E84" s="3"/>
    </row>
  </sheetData>
  <sortState xmlns:xlrd2="http://schemas.microsoft.com/office/spreadsheetml/2017/richdata2" ref="B3:U34">
    <sortCondition ref="B3:B34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5"/>
  <sheetViews>
    <sheetView tabSelected="1" workbookViewId="0">
      <selection activeCell="B5" sqref="B5"/>
    </sheetView>
  </sheetViews>
  <sheetFormatPr defaultRowHeight="15"/>
  <cols>
    <col min="2" max="2" width="16.42578125" bestFit="1" customWidth="1"/>
    <col min="3" max="3" width="12.42578125" bestFit="1" customWidth="1"/>
    <col min="4" max="4" width="12.42578125" customWidth="1"/>
    <col min="5" max="5" width="14.42578125" bestFit="1" customWidth="1"/>
    <col min="9" max="9" width="6.5703125" bestFit="1" customWidth="1"/>
    <col min="10" max="10" width="7.5703125" bestFit="1" customWidth="1"/>
    <col min="16" max="16" width="140.28515625" customWidth="1"/>
    <col min="18" max="18" width="16.42578125" bestFit="1" customWidth="1"/>
  </cols>
  <sheetData>
    <row r="1" spans="2:16">
      <c r="B1" t="s">
        <v>84</v>
      </c>
      <c r="C1">
        <v>2025</v>
      </c>
    </row>
    <row r="2" spans="2:16">
      <c r="B2" t="s">
        <v>85</v>
      </c>
      <c r="C2" t="s">
        <v>86</v>
      </c>
      <c r="D2" t="s">
        <v>1</v>
      </c>
      <c r="E2" t="s">
        <v>87</v>
      </c>
      <c r="F2" t="s">
        <v>88</v>
      </c>
      <c r="G2" s="6" t="s">
        <v>89</v>
      </c>
      <c r="H2" s="6" t="s">
        <v>90</v>
      </c>
      <c r="I2" s="6" t="s">
        <v>91</v>
      </c>
      <c r="J2" s="6" t="s">
        <v>92</v>
      </c>
      <c r="K2" s="6" t="s">
        <v>93</v>
      </c>
      <c r="L2" s="6" t="s">
        <v>94</v>
      </c>
      <c r="M2" s="6" t="s">
        <v>95</v>
      </c>
      <c r="N2" s="6" t="s">
        <v>96</v>
      </c>
    </row>
    <row r="3" spans="2:16">
      <c r="B3" s="6" t="s">
        <v>97</v>
      </c>
      <c r="C3" s="5" t="s">
        <v>64</v>
      </c>
      <c r="D3" t="s">
        <v>65</v>
      </c>
      <c r="E3" s="21">
        <v>8336984</v>
      </c>
      <c r="F3">
        <v>77.099999999999994</v>
      </c>
      <c r="G3">
        <v>59.7</v>
      </c>
      <c r="H3" s="12">
        <v>662</v>
      </c>
      <c r="I3">
        <v>113.9</v>
      </c>
      <c r="J3" s="12">
        <v>90.3</v>
      </c>
      <c r="K3" s="12">
        <v>21.8</v>
      </c>
      <c r="L3" s="12">
        <v>-16.2</v>
      </c>
      <c r="M3" s="12">
        <v>1.7</v>
      </c>
      <c r="N3" s="12">
        <v>78.2</v>
      </c>
      <c r="P3" s="1" t="s">
        <v>98</v>
      </c>
    </row>
    <row r="4" spans="2:16">
      <c r="B4" s="14" t="s">
        <v>99</v>
      </c>
      <c r="C4" s="4" t="s">
        <v>20</v>
      </c>
      <c r="D4" t="s">
        <v>21</v>
      </c>
      <c r="E4" s="21">
        <v>9128073</v>
      </c>
      <c r="F4" s="18">
        <v>72.8</v>
      </c>
      <c r="G4" s="18">
        <v>23.5</v>
      </c>
      <c r="H4" s="18">
        <v>344</v>
      </c>
      <c r="I4" s="18">
        <v>52.8</v>
      </c>
      <c r="J4" s="18">
        <v>44.1</v>
      </c>
      <c r="K4" s="18">
        <v>8.1</v>
      </c>
      <c r="L4" s="18">
        <v>-4.0999999999999996</v>
      </c>
      <c r="M4" s="18">
        <v>0.6</v>
      </c>
      <c r="N4" s="19">
        <v>72.400000000000006</v>
      </c>
      <c r="P4" s="1" t="s">
        <v>100</v>
      </c>
    </row>
    <row r="5" spans="2:16">
      <c r="B5" s="17" t="s">
        <v>101</v>
      </c>
      <c r="C5" s="5" t="s">
        <v>60</v>
      </c>
      <c r="D5" s="8" t="s">
        <v>61</v>
      </c>
      <c r="E5" s="21">
        <v>29772437</v>
      </c>
      <c r="F5" s="12">
        <v>72.7</v>
      </c>
      <c r="G5" s="12">
        <v>37.5</v>
      </c>
      <c r="H5" s="12">
        <v>531</v>
      </c>
      <c r="I5" s="12">
        <v>86.5</v>
      </c>
      <c r="J5" s="12">
        <v>72.900000000000006</v>
      </c>
      <c r="K5" s="12">
        <v>11.2</v>
      </c>
      <c r="L5" s="12">
        <v>-8.6</v>
      </c>
      <c r="M5" s="12">
        <v>2.4</v>
      </c>
      <c r="N5" s="12">
        <v>73.099999999999994</v>
      </c>
      <c r="P5" s="1" t="s">
        <v>102</v>
      </c>
    </row>
    <row r="6" spans="2:16">
      <c r="B6" s="17" t="s">
        <v>103</v>
      </c>
      <c r="C6" s="5" t="s">
        <v>68</v>
      </c>
      <c r="D6" t="s">
        <v>69</v>
      </c>
      <c r="E6" s="21">
        <v>47468556</v>
      </c>
      <c r="F6">
        <v>71.2</v>
      </c>
      <c r="G6">
        <v>42.5</v>
      </c>
      <c r="H6">
        <v>671</v>
      </c>
      <c r="I6">
        <v>99.8</v>
      </c>
      <c r="J6">
        <v>101.4</v>
      </c>
      <c r="K6">
        <v>-5</v>
      </c>
      <c r="L6">
        <v>-10.6</v>
      </c>
      <c r="M6">
        <v>3.4</v>
      </c>
      <c r="N6">
        <v>71</v>
      </c>
      <c r="P6" s="1" t="s">
        <v>104</v>
      </c>
    </row>
    <row r="7" spans="2:16">
      <c r="B7" s="14" t="s">
        <v>105</v>
      </c>
      <c r="C7" s="4" t="s">
        <v>44</v>
      </c>
      <c r="D7" t="s">
        <v>45</v>
      </c>
      <c r="E7" s="21">
        <v>50527250</v>
      </c>
      <c r="F7" s="12">
        <v>70.2</v>
      </c>
      <c r="G7" s="12">
        <v>46.1</v>
      </c>
      <c r="H7" s="12">
        <v>719</v>
      </c>
      <c r="I7" s="12">
        <v>106.8</v>
      </c>
      <c r="J7" s="12">
        <v>94.6</v>
      </c>
      <c r="K7" s="12">
        <v>6.9</v>
      </c>
      <c r="L7" s="12">
        <v>-13.1</v>
      </c>
      <c r="M7" s="12">
        <v>5.2</v>
      </c>
      <c r="N7" s="12">
        <v>71.2</v>
      </c>
      <c r="P7" s="1" t="s">
        <v>106</v>
      </c>
    </row>
    <row r="8" spans="2:16">
      <c r="B8" t="s">
        <v>107</v>
      </c>
      <c r="C8" s="4" t="s">
        <v>38</v>
      </c>
      <c r="D8" t="s">
        <v>39</v>
      </c>
      <c r="E8" s="21">
        <v>28062269</v>
      </c>
      <c r="F8">
        <v>68.5</v>
      </c>
      <c r="G8">
        <v>32.700000000000003</v>
      </c>
      <c r="H8">
        <v>621</v>
      </c>
      <c r="I8">
        <v>88.6</v>
      </c>
      <c r="J8">
        <v>61.2</v>
      </c>
      <c r="K8">
        <v>24.7</v>
      </c>
      <c r="L8">
        <v>-11.5</v>
      </c>
      <c r="M8">
        <v>2.6</v>
      </c>
      <c r="N8">
        <v>67.8</v>
      </c>
      <c r="P8" s="1" t="s">
        <v>108</v>
      </c>
    </row>
    <row r="9" spans="2:16">
      <c r="B9" s="17" t="s">
        <v>109</v>
      </c>
      <c r="C9" s="4" t="s">
        <v>26</v>
      </c>
      <c r="D9" s="8" t="s">
        <v>27</v>
      </c>
      <c r="E9" s="21">
        <v>36338431</v>
      </c>
      <c r="F9">
        <v>65.400000000000006</v>
      </c>
      <c r="G9">
        <v>27.8</v>
      </c>
      <c r="H9">
        <v>633</v>
      </c>
      <c r="I9">
        <v>83.2</v>
      </c>
      <c r="J9">
        <v>54.7</v>
      </c>
      <c r="K9">
        <v>22.9</v>
      </c>
      <c r="L9">
        <v>-16.7</v>
      </c>
      <c r="M9">
        <v>5.6</v>
      </c>
      <c r="N9">
        <v>65.099999999999994</v>
      </c>
      <c r="P9" s="1" t="s">
        <v>110</v>
      </c>
    </row>
    <row r="10" spans="2:16">
      <c r="B10" s="12" t="s">
        <v>111</v>
      </c>
      <c r="C10" s="4" t="s">
        <v>40</v>
      </c>
      <c r="D10" t="s">
        <v>41</v>
      </c>
      <c r="E10" s="21">
        <v>14608820</v>
      </c>
      <c r="F10">
        <v>63</v>
      </c>
      <c r="G10">
        <v>17.100000000000001</v>
      </c>
      <c r="H10" s="12">
        <v>471</v>
      </c>
      <c r="I10">
        <v>57.6</v>
      </c>
      <c r="J10" s="12">
        <v>51.7</v>
      </c>
      <c r="K10" s="12">
        <v>3.3</v>
      </c>
      <c r="L10" s="12">
        <v>-9</v>
      </c>
      <c r="M10" s="12">
        <v>2.6</v>
      </c>
      <c r="N10" s="12">
        <v>62.5</v>
      </c>
      <c r="P10" s="1" t="s">
        <v>112</v>
      </c>
    </row>
    <row r="11" spans="2:16">
      <c r="B11" s="14" t="s">
        <v>113</v>
      </c>
      <c r="C11" s="4" t="s">
        <v>70</v>
      </c>
      <c r="D11" t="s">
        <v>71</v>
      </c>
      <c r="E11" s="21">
        <v>43500000</v>
      </c>
      <c r="F11">
        <v>62.7</v>
      </c>
      <c r="G11">
        <v>13.4</v>
      </c>
      <c r="H11" s="12">
        <v>423</v>
      </c>
      <c r="I11">
        <v>51.6</v>
      </c>
      <c r="J11" s="12">
        <v>32</v>
      </c>
      <c r="K11" s="12">
        <v>17.2</v>
      </c>
      <c r="L11" s="12">
        <v>-16.3</v>
      </c>
      <c r="M11" s="12">
        <v>2.4</v>
      </c>
      <c r="N11" s="12">
        <v>61.1</v>
      </c>
      <c r="O11" s="7"/>
      <c r="P11" s="1" t="s">
        <v>114</v>
      </c>
    </row>
    <row r="12" spans="2:16">
      <c r="B12" s="14" t="s">
        <v>115</v>
      </c>
      <c r="C12" s="4" t="s">
        <v>78</v>
      </c>
      <c r="D12" t="s">
        <v>79</v>
      </c>
      <c r="E12" s="21">
        <v>9903159</v>
      </c>
      <c r="F12">
        <v>61.7</v>
      </c>
      <c r="G12">
        <v>17.2</v>
      </c>
      <c r="H12" s="12">
        <v>519</v>
      </c>
      <c r="I12">
        <v>63.5</v>
      </c>
      <c r="J12" s="12">
        <v>51.9</v>
      </c>
      <c r="K12" s="12">
        <v>7.8</v>
      </c>
      <c r="L12" s="12">
        <v>-10.8</v>
      </c>
      <c r="M12" s="12">
        <v>3.8</v>
      </c>
      <c r="N12" s="12">
        <v>61.5</v>
      </c>
      <c r="O12" s="6"/>
    </row>
    <row r="13" spans="2:16">
      <c r="B13" s="14" t="s">
        <v>116</v>
      </c>
      <c r="C13" s="4" t="s">
        <v>32</v>
      </c>
      <c r="D13" t="s">
        <v>33</v>
      </c>
      <c r="E13" s="21">
        <v>26478780</v>
      </c>
      <c r="F13" s="12">
        <v>61.3</v>
      </c>
      <c r="G13" s="12">
        <v>19.600000000000001</v>
      </c>
      <c r="H13" s="12">
        <v>676</v>
      </c>
      <c r="I13" s="12">
        <v>80.8</v>
      </c>
      <c r="J13" s="12">
        <v>49.4</v>
      </c>
      <c r="K13" s="12">
        <v>27.9</v>
      </c>
      <c r="L13" s="12">
        <v>-13.7</v>
      </c>
      <c r="M13" s="12">
        <v>3.5</v>
      </c>
      <c r="N13" s="12">
        <v>60.1</v>
      </c>
      <c r="O13" s="7"/>
    </row>
    <row r="14" spans="2:16">
      <c r="B14" s="12" t="s">
        <v>117</v>
      </c>
      <c r="C14" s="4" t="s">
        <v>36</v>
      </c>
      <c r="D14" t="s">
        <v>37</v>
      </c>
      <c r="E14" s="21">
        <v>37354495</v>
      </c>
      <c r="F14">
        <v>60.6</v>
      </c>
      <c r="G14">
        <v>23</v>
      </c>
      <c r="H14" s="12">
        <v>688</v>
      </c>
      <c r="I14">
        <v>85.3</v>
      </c>
      <c r="J14" s="12">
        <v>58</v>
      </c>
      <c r="K14" s="12">
        <v>25.4</v>
      </c>
      <c r="L14" s="12">
        <v>-21.3</v>
      </c>
      <c r="M14" s="12">
        <v>1.8</v>
      </c>
      <c r="N14" s="12">
        <v>61.6</v>
      </c>
      <c r="O14" s="7"/>
    </row>
    <row r="15" spans="2:16">
      <c r="B15" s="12" t="s">
        <v>118</v>
      </c>
      <c r="C15" s="4" t="s">
        <v>54</v>
      </c>
      <c r="D15" t="s">
        <v>55</v>
      </c>
      <c r="E15" s="21">
        <v>17000000</v>
      </c>
      <c r="F15">
        <v>58.3</v>
      </c>
      <c r="G15">
        <v>14.8</v>
      </c>
      <c r="H15" s="12">
        <v>727</v>
      </c>
      <c r="I15">
        <v>77.2</v>
      </c>
      <c r="J15" s="12">
        <v>56.8</v>
      </c>
      <c r="K15" s="12">
        <v>17.7</v>
      </c>
      <c r="L15" s="12">
        <v>-13</v>
      </c>
      <c r="M15" s="12">
        <v>2.7</v>
      </c>
      <c r="N15" s="12">
        <v>57.1</v>
      </c>
      <c r="O15" s="7"/>
    </row>
    <row r="16" spans="2:16">
      <c r="B16" s="17" t="s">
        <v>119</v>
      </c>
      <c r="C16" s="5" t="s">
        <v>28</v>
      </c>
      <c r="D16" t="s">
        <v>29</v>
      </c>
      <c r="E16" s="21">
        <v>4238770</v>
      </c>
      <c r="F16">
        <v>58.3</v>
      </c>
      <c r="G16">
        <v>21.7</v>
      </c>
      <c r="H16" s="12">
        <v>753</v>
      </c>
      <c r="I16">
        <v>89.2</v>
      </c>
      <c r="J16" s="12">
        <v>72.599999999999994</v>
      </c>
      <c r="K16" s="12">
        <v>15.4</v>
      </c>
      <c r="L16" s="12">
        <v>-7.9</v>
      </c>
      <c r="M16" s="12">
        <v>1.2</v>
      </c>
      <c r="N16" s="12">
        <v>60</v>
      </c>
      <c r="O16" s="7"/>
    </row>
    <row r="17" spans="2:15">
      <c r="B17" s="17" t="s">
        <v>120</v>
      </c>
      <c r="C17" s="5" t="s">
        <v>22</v>
      </c>
      <c r="D17" t="s">
        <v>23</v>
      </c>
      <c r="E17" s="21">
        <v>8984506</v>
      </c>
      <c r="F17" s="12">
        <v>58.2</v>
      </c>
      <c r="G17" s="12">
        <v>15.8</v>
      </c>
      <c r="H17" s="12">
        <v>704</v>
      </c>
      <c r="I17" s="12">
        <v>79.8</v>
      </c>
      <c r="J17" s="12">
        <v>66.900000000000006</v>
      </c>
      <c r="K17" s="12">
        <v>14.1</v>
      </c>
      <c r="L17" s="12">
        <v>-9.9</v>
      </c>
      <c r="M17" s="12">
        <v>-1.2</v>
      </c>
      <c r="N17" s="12">
        <v>57.9</v>
      </c>
      <c r="O17" s="7"/>
    </row>
    <row r="18" spans="2:15">
      <c r="B18" s="17" t="s">
        <v>121</v>
      </c>
      <c r="C18" s="4" t="s">
        <v>52</v>
      </c>
      <c r="D18" s="8" t="s">
        <v>53</v>
      </c>
      <c r="E18" s="21">
        <v>3091245</v>
      </c>
      <c r="F18">
        <v>57.5</v>
      </c>
      <c r="G18">
        <v>10.199999999999999</v>
      </c>
      <c r="H18">
        <v>506</v>
      </c>
      <c r="I18">
        <v>53.6</v>
      </c>
      <c r="J18">
        <v>24.9</v>
      </c>
      <c r="K18">
        <v>24.4</v>
      </c>
      <c r="L18">
        <v>-13.7</v>
      </c>
      <c r="M18">
        <v>4.3</v>
      </c>
      <c r="N18">
        <v>57.1</v>
      </c>
      <c r="O18" s="7"/>
    </row>
    <row r="19" spans="2:15">
      <c r="B19" s="17" t="s">
        <v>122</v>
      </c>
      <c r="C19" s="5" t="s">
        <v>58</v>
      </c>
      <c r="D19" s="8" t="s">
        <v>59</v>
      </c>
      <c r="E19" s="21">
        <v>32608820</v>
      </c>
      <c r="F19">
        <v>57.3</v>
      </c>
      <c r="G19">
        <v>16.2</v>
      </c>
      <c r="H19" s="12">
        <v>659</v>
      </c>
      <c r="I19">
        <v>74.2</v>
      </c>
      <c r="J19" s="12">
        <v>76.400000000000006</v>
      </c>
      <c r="K19" s="12">
        <v>-2.2999999999999998</v>
      </c>
      <c r="L19" s="12">
        <v>-16.7</v>
      </c>
      <c r="M19" s="12">
        <v>0.1</v>
      </c>
      <c r="N19" s="12">
        <v>58.6</v>
      </c>
      <c r="O19" s="7"/>
    </row>
    <row r="20" spans="2:15">
      <c r="B20" s="16" t="s">
        <v>123</v>
      </c>
      <c r="C20" s="5" t="s">
        <v>74</v>
      </c>
      <c r="D20" t="s">
        <v>75</v>
      </c>
      <c r="E20" s="21">
        <v>13400000</v>
      </c>
      <c r="F20">
        <v>55.6</v>
      </c>
      <c r="G20">
        <v>9.8000000000000007</v>
      </c>
      <c r="H20" s="12">
        <v>568</v>
      </c>
      <c r="I20">
        <v>60.2</v>
      </c>
      <c r="J20" s="12">
        <v>58.2</v>
      </c>
      <c r="K20" s="12">
        <v>-1.2</v>
      </c>
      <c r="L20" s="12">
        <v>-11.6</v>
      </c>
      <c r="M20" s="12">
        <v>3.3</v>
      </c>
      <c r="N20" s="12">
        <v>56.1</v>
      </c>
    </row>
    <row r="21" spans="2:15">
      <c r="B21" s="17" t="s">
        <v>124</v>
      </c>
      <c r="C21" s="5" t="s">
        <v>48</v>
      </c>
      <c r="D21" s="8" t="s">
        <v>49</v>
      </c>
      <c r="E21" s="21">
        <v>54877360</v>
      </c>
      <c r="F21">
        <v>55.2</v>
      </c>
      <c r="G21">
        <v>12.4</v>
      </c>
      <c r="H21">
        <v>624</v>
      </c>
      <c r="I21">
        <v>69.099999999999994</v>
      </c>
      <c r="J21">
        <v>49.7</v>
      </c>
      <c r="K21">
        <v>15.1</v>
      </c>
      <c r="L21">
        <v>-13.2</v>
      </c>
      <c r="M21">
        <v>4.4000000000000004</v>
      </c>
      <c r="N21">
        <v>57</v>
      </c>
      <c r="O21" s="7"/>
    </row>
    <row r="22" spans="2:15">
      <c r="B22" s="16" t="s">
        <v>125</v>
      </c>
      <c r="C22" s="4" t="s">
        <v>72</v>
      </c>
      <c r="D22" t="s">
        <v>73</v>
      </c>
      <c r="E22" s="21">
        <v>1967877</v>
      </c>
      <c r="F22">
        <v>48.8</v>
      </c>
      <c r="G22">
        <v>1.9</v>
      </c>
      <c r="H22" s="15">
        <v>420</v>
      </c>
      <c r="I22">
        <v>37.6</v>
      </c>
      <c r="J22" s="15">
        <v>30.7</v>
      </c>
      <c r="K22" s="15">
        <v>6</v>
      </c>
      <c r="L22" s="15">
        <v>-15.4</v>
      </c>
      <c r="M22" s="15">
        <v>0.9</v>
      </c>
      <c r="N22" s="15">
        <v>51.6</v>
      </c>
      <c r="O22" s="7"/>
    </row>
    <row r="23" spans="2:15">
      <c r="B23" s="14" t="s">
        <v>126</v>
      </c>
      <c r="C23" s="10" t="s">
        <v>62</v>
      </c>
      <c r="D23" t="s">
        <v>63</v>
      </c>
      <c r="E23" s="21">
        <v>10360203</v>
      </c>
      <c r="F23">
        <v>47.6</v>
      </c>
      <c r="G23">
        <v>-1.2</v>
      </c>
      <c r="H23" s="12">
        <v>591</v>
      </c>
      <c r="I23">
        <v>51.6</v>
      </c>
      <c r="J23" s="12">
        <v>40.5</v>
      </c>
      <c r="K23" s="12">
        <v>9.1</v>
      </c>
      <c r="L23" s="12">
        <v>-14.2</v>
      </c>
      <c r="M23" s="12">
        <v>2</v>
      </c>
      <c r="N23" s="12">
        <v>49.3</v>
      </c>
      <c r="O23" s="7"/>
    </row>
    <row r="24" spans="2:15">
      <c r="B24" s="14" t="s">
        <v>127</v>
      </c>
      <c r="C24" s="5" t="s">
        <v>76</v>
      </c>
      <c r="D24" t="s">
        <v>77</v>
      </c>
      <c r="E24" s="21">
        <v>14150000</v>
      </c>
      <c r="F24">
        <v>44.4</v>
      </c>
      <c r="G24">
        <v>-12.5</v>
      </c>
      <c r="H24" s="12">
        <v>569</v>
      </c>
      <c r="I24">
        <v>40.5</v>
      </c>
      <c r="J24" s="12">
        <v>39.299999999999997</v>
      </c>
      <c r="K24" s="12">
        <v>0.1</v>
      </c>
      <c r="L24" s="12">
        <v>-12.3</v>
      </c>
      <c r="M24" s="12">
        <v>1</v>
      </c>
      <c r="N24" s="12">
        <v>42.3</v>
      </c>
      <c r="O24" s="7"/>
    </row>
    <row r="25" spans="2:15">
      <c r="B25" s="6" t="s">
        <v>128</v>
      </c>
      <c r="C25" s="4" t="s">
        <v>34</v>
      </c>
      <c r="D25" t="s">
        <v>35</v>
      </c>
      <c r="E25" s="21">
        <v>5310000</v>
      </c>
      <c r="F25">
        <v>41.2</v>
      </c>
      <c r="G25">
        <v>-12.4</v>
      </c>
      <c r="H25" s="12">
        <v>592</v>
      </c>
      <c r="I25">
        <v>36.9</v>
      </c>
      <c r="J25" s="12">
        <v>30.2</v>
      </c>
      <c r="K25" s="12">
        <v>5.2</v>
      </c>
      <c r="L25" s="12">
        <v>-15.6</v>
      </c>
      <c r="M25" s="12">
        <v>1.5</v>
      </c>
      <c r="N25" s="12">
        <v>42.6</v>
      </c>
      <c r="O25" s="7"/>
    </row>
    <row r="26" spans="2:15">
      <c r="B26" s="16" t="s">
        <v>129</v>
      </c>
      <c r="C26" s="5" t="s">
        <v>24</v>
      </c>
      <c r="D26" t="s">
        <v>25</v>
      </c>
      <c r="E26" s="21">
        <v>2162272</v>
      </c>
      <c r="F26">
        <v>41</v>
      </c>
      <c r="G26">
        <v>-8.6999999999999993</v>
      </c>
      <c r="H26">
        <v>481</v>
      </c>
      <c r="I26">
        <v>35.1</v>
      </c>
      <c r="J26">
        <v>29.8</v>
      </c>
      <c r="K26">
        <v>3.2</v>
      </c>
      <c r="L26">
        <v>-8.3000000000000007</v>
      </c>
      <c r="M26">
        <v>2.1</v>
      </c>
      <c r="N26">
        <v>43.6</v>
      </c>
      <c r="O26" s="7"/>
    </row>
    <row r="27" spans="2:15">
      <c r="B27" s="12" t="s">
        <v>130</v>
      </c>
      <c r="C27" s="5" t="s">
        <v>46</v>
      </c>
      <c r="D27" t="s">
        <v>47</v>
      </c>
      <c r="E27" s="21">
        <v>39313647</v>
      </c>
      <c r="F27">
        <v>37.5</v>
      </c>
      <c r="G27">
        <v>-17.5</v>
      </c>
      <c r="H27" s="12">
        <v>461</v>
      </c>
      <c r="I27">
        <v>24</v>
      </c>
      <c r="J27" s="12">
        <v>32.700000000000003</v>
      </c>
      <c r="K27" s="12">
        <v>-8.5</v>
      </c>
      <c r="L27" s="12">
        <v>-12.1</v>
      </c>
      <c r="M27" s="12">
        <v>-0.2</v>
      </c>
      <c r="N27" s="12">
        <v>36.9</v>
      </c>
      <c r="O27" s="7"/>
    </row>
    <row r="28" spans="2:15">
      <c r="B28" s="12" t="s">
        <v>131</v>
      </c>
      <c r="C28" s="20" t="s">
        <v>56</v>
      </c>
      <c r="D28" t="s">
        <v>57</v>
      </c>
      <c r="E28" s="21">
        <v>40010080</v>
      </c>
      <c r="F28" s="12">
        <v>34.1</v>
      </c>
      <c r="G28" s="12">
        <v>-28.7</v>
      </c>
      <c r="H28" s="15">
        <v>575</v>
      </c>
      <c r="I28" s="12">
        <v>24</v>
      </c>
      <c r="J28" s="15">
        <v>20.5</v>
      </c>
      <c r="K28" s="15">
        <v>0.9</v>
      </c>
      <c r="L28" s="15">
        <v>-23.8</v>
      </c>
      <c r="M28" s="15">
        <v>2.6</v>
      </c>
      <c r="N28" s="15">
        <v>33</v>
      </c>
      <c r="O28" s="7"/>
    </row>
    <row r="29" spans="2:15">
      <c r="B29" s="6" t="s">
        <v>132</v>
      </c>
      <c r="C29" s="5" t="s">
        <v>80</v>
      </c>
      <c r="D29" t="s">
        <v>81</v>
      </c>
      <c r="E29" s="21">
        <v>8884114</v>
      </c>
      <c r="F29">
        <v>33.200000000000003</v>
      </c>
      <c r="G29">
        <v>-38.5</v>
      </c>
      <c r="H29" s="15">
        <v>672</v>
      </c>
      <c r="I29">
        <v>22.7</v>
      </c>
      <c r="J29" s="15">
        <v>16.5</v>
      </c>
      <c r="K29" s="15">
        <v>6.2</v>
      </c>
      <c r="L29" s="15">
        <v>-23.4</v>
      </c>
      <c r="M29" s="15">
        <v>0</v>
      </c>
      <c r="N29" s="15">
        <v>30.8</v>
      </c>
      <c r="O29" s="7"/>
    </row>
    <row r="30" spans="2:15">
      <c r="B30" s="12" t="s">
        <v>133</v>
      </c>
      <c r="C30" s="5" t="s">
        <v>50</v>
      </c>
      <c r="D30" t="s">
        <v>51</v>
      </c>
      <c r="E30" s="21">
        <v>40000000</v>
      </c>
      <c r="H30" s="15"/>
      <c r="J30" s="15"/>
      <c r="K30" s="15"/>
      <c r="L30" s="15"/>
      <c r="M30" s="15"/>
      <c r="N30" s="15"/>
      <c r="O30" s="7"/>
    </row>
    <row r="31" spans="2:15">
      <c r="B31" s="6" t="s">
        <v>134</v>
      </c>
      <c r="C31" s="5" t="s">
        <v>30</v>
      </c>
      <c r="D31" t="s">
        <v>31</v>
      </c>
      <c r="E31" s="21">
        <v>35978759</v>
      </c>
      <c r="H31" s="12"/>
      <c r="J31" s="12"/>
      <c r="K31" s="12"/>
      <c r="L31" s="12"/>
      <c r="M31" s="12"/>
      <c r="N31" s="12"/>
      <c r="O31" s="7"/>
    </row>
    <row r="32" spans="2:15">
      <c r="B32" s="17" t="s">
        <v>135</v>
      </c>
      <c r="C32" s="4" t="s">
        <v>42</v>
      </c>
      <c r="D32" s="8" t="s">
        <v>43</v>
      </c>
      <c r="E32" s="21">
        <v>8588549</v>
      </c>
      <c r="H32" s="13"/>
      <c r="I32" s="6"/>
      <c r="J32" s="9"/>
      <c r="K32" s="9"/>
      <c r="L32" s="9"/>
      <c r="M32" s="9"/>
      <c r="N32" s="9"/>
    </row>
    <row r="33" spans="2:16">
      <c r="B33" s="22" t="s">
        <v>136</v>
      </c>
      <c r="C33" s="4" t="s">
        <v>82</v>
      </c>
      <c r="D33" s="11" t="s">
        <v>83</v>
      </c>
      <c r="E33" s="21">
        <v>4975819</v>
      </c>
      <c r="H33" s="13"/>
      <c r="I33" s="6"/>
      <c r="J33" s="9"/>
      <c r="K33" s="9"/>
      <c r="L33" s="9"/>
      <c r="M33" s="9"/>
      <c r="N33" s="9"/>
    </row>
    <row r="34" spans="2:16">
      <c r="B34" s="17" t="s">
        <v>137</v>
      </c>
      <c r="C34" s="5" t="s">
        <v>66</v>
      </c>
      <c r="D34" t="s">
        <v>67</v>
      </c>
      <c r="E34" s="21">
        <v>2623350</v>
      </c>
    </row>
    <row r="35" spans="2:16">
      <c r="P35" t="s">
        <v>138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117B-DF53-42CF-AFBB-C708AD5F852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6CA1-5003-43F3-9FEB-F2C38F562F9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FC2E-61C1-4EED-8801-D61E4A9D314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4E52-82DF-4C32-A9EB-00AE8D4C5844}">
  <dimension ref="A1"/>
  <sheetViews>
    <sheetView workbookViewId="0">
      <selection activeCell="C19" sqref="C1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Mason Malicoate</cp:lastModifiedBy>
  <cp:revision/>
  <dcterms:created xsi:type="dcterms:W3CDTF">2026-05-23T03:35:52Z</dcterms:created>
  <dcterms:modified xsi:type="dcterms:W3CDTF">2026-05-27T17:13:07Z</dcterms:modified>
  <cp:category/>
  <cp:contentStatus/>
</cp:coreProperties>
</file>